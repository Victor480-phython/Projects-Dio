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per\Desktop\02. Destino_Repositório_Local_Excel\"/>
    </mc:Choice>
  </mc:AlternateContent>
  <xr:revisionPtr revIDLastSave="0" documentId="13_ncr:2001_{081A9DF7-C2DE-4B12-B471-56C419527772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Meses__Start_Date">#N/A</definedName>
    <definedName name="SegmentaçãodeDados_Subscription_Type">#N/A</definedName>
    <definedName name="SegmentaçãodeDados_Subscription_Type1">#N/A</definedName>
  </definedNames>
  <calcPr calcId="191028"/>
  <pivotCaches>
    <pivotCache cacheId="1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3" l="1"/>
</calcChain>
</file>

<file path=xl/sharedStrings.xml><?xml version="1.0" encoding="utf-8"?>
<sst xmlns="http://schemas.openxmlformats.org/spreadsheetml/2006/main" count="2027" uniqueCount="324">
  <si>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</si>
  <si>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</si>
  <si>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</si>
  <si>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</si>
  <si>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</si>
  <si>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</si>
  <si>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</si>
  <si>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</si>
  <si>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</si>
  <si>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</si>
  <si>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</si>
  <si>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</si>
  <si>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</si>
  <si>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</si>
  <si>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</si>
  <si>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</si>
  <si>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</si>
  <si>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</si>
  <si>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</si>
  <si>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</si>
  <si>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</si>
  <si>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</si>
  <si>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</si>
  <si>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</si>
  <si>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</si>
  <si>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</si>
  <si>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</si>
  <si>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</si>
  <si>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</si>
  <si>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</si>
  <si>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</si>
  <si>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</si>
  <si>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</si>
  <si>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</si>
  <si>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</si>
  <si>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</si>
  <si>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</si>
  <si>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</si>
  <si>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</si>
  <si>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</si>
  <si>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</si>
  <si>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</si>
  <si>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</si>
  <si>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</si>
  <si>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</si>
  <si>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</si>
  <si>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</si>
  <si>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</si>
  <si>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</si>
  <si>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</si>
  <si>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</si>
  <si>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</si>
  <si>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</si>
  <si>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</si>
  <si>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</si>
  <si>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</si>
  <si>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</si>
  <si>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</si>
  <si>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</si>
  <si>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</si>
  <si>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</si>
  <si>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</si>
  <si>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</si>
  <si>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</si>
  <si>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</si>
  <si>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</si>
  <si>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</si>
  <si>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</si>
  <si>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</si>
  <si>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</si>
  <si>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</si>
  <si>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</si>
  <si>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</si>
  <si>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</si>
  <si>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</si>
  <si>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</si>
  <si>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</si>
  <si>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</si>
  <si>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</si>
  <si>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</si>
  <si>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</si>
  <si>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</si>
  <si>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</si>
  <si>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</si>
  <si>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</si>
  <si>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</si>
  <si>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</si>
  <si>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</si>
  <si>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</si>
  <si>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</si>
  <si>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</si>
  <si>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</si>
  <si>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</si>
  <si>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</si>
  <si>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</si>
  <si>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</si>
  <si>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</si>
  <si>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</si>
  <si>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</si>
  <si>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</si>
  <si>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</si>
  <si>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</si>
  <si>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</si>
  <si>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</si>
  <si>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</si>
  <si>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</si>
  <si>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</si>
  <si>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</si>
  <si>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</si>
  <si>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</si>
  <si>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</si>
  <si>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</si>
  <si>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</si>
  <si>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</si>
  <si>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</si>
  <si>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</si>
  <si>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</si>
  <si>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</si>
  <si>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</si>
  <si>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</si>
  <si>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</si>
  <si>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</si>
  <si>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</si>
  <si>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</si>
  <si>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</si>
  <si>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</si>
  <si>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</si>
  <si>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</si>
  <si>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</si>
  <si>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</si>
  <si>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</si>
  <si>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</si>
  <si>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</si>
  <si>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</si>
  <si>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</si>
  <si>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</si>
  <si>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</si>
  <si>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</si>
  <si>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</si>
  <si>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</si>
  <si>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</si>
  <si>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</si>
  <si>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</si>
  <si>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</si>
  <si>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</si>
  <si>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</si>
  <si>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</si>
  <si>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</si>
  <si>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</si>
  <si>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</si>
  <si>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</si>
  <si>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</si>
  <si>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</si>
  <si>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</si>
  <si>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</si>
  <si>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</si>
  <si>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</si>
  <si>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</si>
  <si>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</si>
  <si>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</si>
  <si>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</si>
  <si>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</si>
  <si>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</si>
  <si>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</si>
  <si>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</si>
  <si>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</si>
  <si>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</si>
  <si>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</si>
  <si>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</si>
  <si>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</si>
  <si>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</si>
  <si>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</si>
  <si>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</si>
  <si>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</si>
  <si>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</si>
  <si>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</si>
  <si>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</si>
  <si>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</si>
  <si>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</si>
  <si>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</si>
  <si>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</si>
  <si>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</si>
  <si>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</si>
  <si>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</si>
  <si>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</si>
  <si>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</si>
  <si>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</si>
  <si>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</si>
  <si>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</si>
  <si>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</si>
  <si>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</si>
  <si>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</si>
  <si>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</si>
  <si>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</si>
  <si>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</si>
  <si>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</si>
  <si>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</si>
  <si>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</si>
  <si>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</si>
  <si>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</si>
  <si>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</si>
  <si>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</si>
  <si>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</si>
  <si>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</si>
  <si>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</si>
  <si>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</si>
  <si>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</si>
  <si>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</si>
  <si>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</si>
  <si>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</si>
  <si>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</si>
  <si>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</si>
  <si>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</si>
  <si>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</si>
  <si>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</si>
  <si>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</si>
  <si>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</si>
  <si>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</si>
  <si>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</si>
  <si>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</si>
  <si>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</si>
  <si>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</si>
  <si>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</si>
  <si>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</si>
  <si>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</si>
  <si>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</si>
  <si>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</si>
  <si>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</si>
  <si>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</si>
  <si>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</si>
  <si>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</si>
  <si>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</si>
  <si>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</si>
  <si>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</si>
  <si>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</si>
  <si>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</si>
  <si>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</si>
  <si>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</si>
  <si>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</si>
  <si>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</si>
  <si>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</si>
  <si>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</si>
  <si>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</si>
  <si>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</si>
  <si>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</si>
  <si>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</si>
  <si>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</si>
  <si>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</si>
  <si>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</si>
  <si>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</si>
  <si>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</si>
  <si>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</si>
  <si>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</si>
  <si>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</si>
  <si>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</si>
  <si>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</si>
  <si>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</si>
  <si>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</si>
  <si>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</si>
  <si>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</si>
  <si>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</si>
  <si>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</si>
  <si>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</si>
  <si>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</si>
  <si>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</si>
  <si>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</si>
  <si>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</si>
  <si>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</si>
  <si>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</si>
  <si>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</si>
  <si>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</si>
  <si>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</si>
  <si>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</si>
  <si>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</si>
  <si>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</si>
  <si>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</si>
  <si>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</si>
  <si>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</si>
  <si>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</si>
  <si>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</si>
  <si>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</si>
  <si>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</si>
  <si>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</si>
  <si>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</si>
  <si>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</si>
  <si>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</si>
  <si>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</si>
  <si>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</si>
  <si>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</si>
  <si>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</si>
  <si>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</si>
  <si>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</si>
  <si>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</si>
  <si>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</si>
  <si>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</si>
  <si>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</si>
  <si>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</si>
  <si>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</si>
  <si>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</si>
  <si>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</si>
  <si>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</si>
  <si>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</si>
  <si>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</si>
  <si>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</si>
  <si>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</si>
  <si>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</si>
  <si>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</si>
  <si>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</si>
  <si>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</si>
  <si>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</si>
  <si>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</si>
  <si>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</si>
  <si>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</si>
  <si>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</si>
  <si>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Rótulos de Linha</t>
  </si>
  <si>
    <t>Total Geral</t>
  </si>
  <si>
    <t>Rótulos de Coluna</t>
  </si>
  <si>
    <t>qual o plano com a maior quantidade de vendas e qual o comparativo com os que possui autorenovação?</t>
  </si>
  <si>
    <t>Quanto foi vendido de assinatura trimestral de season pass do minecraft e qual o comparativo de autorenovação?</t>
  </si>
  <si>
    <t>Contagem de Coupon Value</t>
  </si>
  <si>
    <t>Qual plano possui a maior quantidade de cupons de desconto?</t>
  </si>
  <si>
    <t>Contagem de EA Play Season Pass</t>
  </si>
  <si>
    <t>Qual a quantidade de planos Standart que não possuem renovação?</t>
  </si>
  <si>
    <t>Xbox Brasil - Informações de vendas das 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</si>
</sst>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6" tint="-0.24997711111789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3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8"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>
          <bgColor theme="6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2" tint="-9.9948118533890809E-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rgb="FF9BC848"/>
      </font>
    </dxf>
    <dxf>
      <font>
        <color rgb="FF9BC848"/>
      </font>
    </dxf>
    <dxf>
      <font>
        <color rgb="FF9BC848"/>
        <name val="Aptos Narrow"/>
        <family val="2"/>
        <scheme val="minor"/>
      </font>
    </dxf>
    <dxf>
      <font>
        <color rgb="FF9BC848"/>
        <name val="Aptos Narrow"/>
        <family val="2"/>
        <scheme val="minor"/>
      </font>
    </dxf>
  </dxfs>
  <tableStyles count="9" defaultTableStyle="TableStyleMedium2" defaultPivotStyle="PivotStyleLight16">
    <tableStyle name="Estilo de Segmentação de Dados 1" pivot="0" table="0" count="0" xr9:uid="{04522556-0059-4FD0-B8D4-A38F2FF1DFFB}"/>
    <tableStyle name="Estilo de Segmentação de Dados 2" pivot="0" table="0" count="2" xr9:uid="{1D887AE8-2E4A-4BDF-B4AD-B9878F98E971}">
      <tableStyleElement type="wholeTable" dxfId="27"/>
      <tableStyleElement type="headerRow" dxfId="26"/>
    </tableStyle>
    <tableStyle name="Estilo de Segmentação de Dados 3" pivot="0" table="0" count="1" xr9:uid="{E45322F0-809B-4F17-98D0-AC1CFCED3F68}"/>
    <tableStyle name="Estilo de Segmentação de Dados 4" pivot="0" table="0" count="5" xr9:uid="{EF0A90A5-ABAD-4401-B479-F0F6A6CCBEDE}">
      <tableStyleElement type="wholeTable" dxfId="25"/>
      <tableStyleElement type="headerRow" dxfId="24"/>
    </tableStyle>
    <tableStyle name="SlicerStyleLight1 2" pivot="0" table="0" count="10" xr9:uid="{8C40BA1F-EA84-4249-AF3A-D52B3099D066}">
      <tableStyleElement type="wholeTable" dxfId="23"/>
      <tableStyleElement type="headerRow" dxfId="22"/>
    </tableStyle>
    <tableStyle name="SlicerStyleLight3 2" pivot="0" table="0" count="10" xr9:uid="{2E8F616B-D5E2-4B5D-9C52-955505D08362}">
      <tableStyleElement type="wholeTable" dxfId="21"/>
      <tableStyleElement type="headerRow" dxfId="20"/>
    </tableStyle>
    <tableStyle name="SlicerStyleLight3 2 2" pivot="0" table="0" count="10" xr9:uid="{F0A3B603-F36C-4C10-9416-4363AEC18FB4}">
      <tableStyleElement type="wholeTable" dxfId="5"/>
      <tableStyleElement type="headerRow" dxfId="4"/>
    </tableStyle>
    <tableStyle name="SlicerStyleLight3 2 3" pivot="0" table="0" count="10" xr9:uid="{97F8C588-B934-44C9-B6B6-A972E3FFB148}">
      <tableStyleElement type="wholeTable" dxfId="3"/>
      <tableStyleElement type="headerRow" dxfId="2"/>
    </tableStyle>
    <tableStyle name="TimeSlicerStyleLight3 2" pivot="0" table="0" count="9" xr9:uid="{2CAE2949-D8EB-4479-B54C-D8D30AD2843F}">
      <tableStyleElement type="wholeTable" dxfId="1"/>
      <tableStyleElement type="headerRow" dxfId="0"/>
    </tableStyle>
  </tableStyles>
  <colors>
    <mruColors>
      <color rgb="FF22C55E"/>
      <color rgb="FF9BC848"/>
      <color rgb="FF000000"/>
      <color rgb="FFE8E6E9"/>
      <color rgb="FF5BF6A8"/>
      <color rgb="FF2AE6B1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3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9BC848"/>
          </font>
        </dxf>
        <dxf>
          <font>
            <color rgb="FF9BC848"/>
          </font>
        </dxf>
        <dxf>
          <font>
            <color rgb="FF9BC848"/>
          </font>
        </dxf>
        <dxf>
          <font>
            <color rgb="FF9BC848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hoveredSelectedItemWithData" dxfId="35"/>
          </x14:slicerStyleElements>
        </x14:slicerStyle>
        <x14:slicerStyle name="Estilo de Segmentação de Dados 4">
          <x14:slicerStyleElements>
            <x14:slicerStyleElement type="selectedItemWithData" dxfId="34"/>
            <x14:slicerStyleElement type="selectedItemWithNoData" dxfId="33"/>
            <x14:slicerStyleElement type="hoveredSelectedItemWithData" dxfId="32"/>
          </x14:slicerStyleElements>
        </x14:slicerStyle>
        <x14:slicerStyle name="SlicerStyleLight1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3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3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3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3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C̳álculos!$C$5:$C$6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140</c:v>
                </c:pt>
                <c:pt idx="1">
                  <c:v>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D-48AF-BD7C-5CF04F4CD4FA}"/>
            </c:ext>
          </c:extLst>
        </c:ser>
        <c:ser>
          <c:idx val="1"/>
          <c:order val="1"/>
          <c:tx>
            <c:strRef>
              <c:f>C̳álculos!$D$5:$D$6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C̳álculos!$D$7:$D$9</c:f>
              <c:numCache>
                <c:formatCode>_("R$"* #,##0.00_);_("R$"* \(#,##0.00\);_("R$"* "-"??_);_(@_)</c:formatCode>
                <c:ptCount val="2"/>
                <c:pt idx="0">
                  <c:v>52</c:v>
                </c:pt>
                <c:pt idx="1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2D-48AF-BD7C-5CF04F4CD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96687"/>
        <c:axId val="203797167"/>
      </c:barChart>
      <c:catAx>
        <c:axId val="20379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797167"/>
        <c:crosses val="autoZero"/>
        <c:auto val="1"/>
        <c:lblAlgn val="ctr"/>
        <c:lblOffset val="100"/>
        <c:noMultiLvlLbl val="0"/>
      </c:catAx>
      <c:valAx>
        <c:axId val="20379716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79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C̳álculos!$C$26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C̳álculos!$B$27:$B$29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C̳álculos!$C$27:$C$29</c:f>
              <c:numCache>
                <c:formatCode>_("R$"* #,##0.00_);_("R$"* \(#,##0.00\);_("R$"* "-"??_);_(@_)</c:formatCode>
                <c:ptCount val="2"/>
                <c:pt idx="0">
                  <c:v>712</c:v>
                </c:pt>
                <c:pt idx="1">
                  <c:v>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F-45AD-A3BA-152CEFED9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3484511"/>
        <c:axId val="2093484991"/>
      </c:barChart>
      <c:catAx>
        <c:axId val="20934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3484991"/>
        <c:crosses val="autoZero"/>
        <c:auto val="1"/>
        <c:lblAlgn val="ctr"/>
        <c:lblOffset val="100"/>
        <c:noMultiLvlLbl val="0"/>
      </c:catAx>
      <c:valAx>
        <c:axId val="2093484991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34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dinâmica4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C̳álculos!$B$45:$B$48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C̳álculos!$C$45:$C$48</c:f>
              <c:numCache>
                <c:formatCode>General</c:formatCode>
                <c:ptCount val="3"/>
                <c:pt idx="0">
                  <c:v>20</c:v>
                </c:pt>
                <c:pt idx="1">
                  <c:v>21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B-4FE7-B6CA-0F98B18A1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4010127"/>
        <c:axId val="1617622575"/>
      </c:barChart>
      <c:catAx>
        <c:axId val="151401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622575"/>
        <c:crosses val="autoZero"/>
        <c:auto val="1"/>
        <c:lblAlgn val="ctr"/>
        <c:lblOffset val="100"/>
        <c:noMultiLvlLbl val="0"/>
      </c:catAx>
      <c:valAx>
        <c:axId val="1617622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01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rgbClr val="9BC848"/>
          </a:solidFill>
          <a:ln>
            <a:noFill/>
          </a:ln>
          <a:effectLst/>
        </c:spPr>
      </c:pivotFmt>
      <c:pivotFmt>
        <c:idx val="161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C̳álculos!$C$26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71-4B37-8FF7-05C7883114EC}"/>
              </c:ext>
            </c:extLst>
          </c:dPt>
          <c:dPt>
            <c:idx val="1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71-4B37-8FF7-05C7883114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C̳álculos!$B$27:$B$29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C̳álculos!$C$27:$C$29</c:f>
              <c:numCache>
                <c:formatCode>_("R$"* #,##0.00_);_("R$"* \(#,##0.00\);_("R$"* "-"??_);_(@_)</c:formatCode>
                <c:ptCount val="2"/>
                <c:pt idx="0">
                  <c:v>712</c:v>
                </c:pt>
                <c:pt idx="1">
                  <c:v>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6-42F3-BE6C-F2890B899C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93484511"/>
        <c:axId val="2093484991"/>
      </c:barChart>
      <c:catAx>
        <c:axId val="20934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3484991"/>
        <c:crosses val="autoZero"/>
        <c:auto val="1"/>
        <c:lblAlgn val="ctr"/>
        <c:lblOffset val="100"/>
        <c:noMultiLvlLbl val="0"/>
      </c:catAx>
      <c:valAx>
        <c:axId val="209348499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9348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C̳álculos!$C$5:$C$6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140</c:v>
                </c:pt>
                <c:pt idx="1">
                  <c:v>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D-4DC5-8674-C623533F5C73}"/>
            </c:ext>
          </c:extLst>
        </c:ser>
        <c:ser>
          <c:idx val="1"/>
          <c:order val="1"/>
          <c:tx>
            <c:strRef>
              <c:f>C̳álculos!$D$5:$D$6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C̳álculos!$D$7:$D$9</c:f>
              <c:numCache>
                <c:formatCode>_("R$"* #,##0.00_);_("R$"* \(#,##0.00\);_("R$"* "-"??_);_(@_)</c:formatCode>
                <c:ptCount val="2"/>
                <c:pt idx="0">
                  <c:v>52</c:v>
                </c:pt>
                <c:pt idx="1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D-4DC5-8674-C623533F5C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03796687"/>
        <c:axId val="203797167"/>
      </c:barChart>
      <c:catAx>
        <c:axId val="20379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797167"/>
        <c:crosses val="autoZero"/>
        <c:auto val="1"/>
        <c:lblAlgn val="ctr"/>
        <c:lblOffset val="100"/>
        <c:noMultiLvlLbl val="0"/>
      </c:catAx>
      <c:valAx>
        <c:axId val="20379716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379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dinâmica4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9BC848"/>
          </a:solidFill>
          <a:ln>
            <a:noFill/>
          </a:ln>
          <a:effectLst/>
        </c:spPr>
      </c:pivotFmt>
      <c:pivotFmt>
        <c:idx val="17"/>
        <c:spPr>
          <a:solidFill>
            <a:srgbClr val="9BC848"/>
          </a:solidFill>
          <a:ln>
            <a:noFill/>
          </a:ln>
          <a:effectLst/>
        </c:spPr>
      </c:pivotFmt>
      <c:pivotFmt>
        <c:idx val="18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8D-4D1E-B287-28786C301098}"/>
              </c:ext>
            </c:extLst>
          </c:dPt>
          <c:dPt>
            <c:idx val="1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8D-4D1E-B287-28786C301098}"/>
              </c:ext>
            </c:extLst>
          </c:dPt>
          <c:dPt>
            <c:idx val="2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8D-4D1E-B287-28786C3010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C̳álculos!$B$45:$B$48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C̳álculos!$C$45:$C$48</c:f>
              <c:numCache>
                <c:formatCode>General</c:formatCode>
                <c:ptCount val="3"/>
                <c:pt idx="0">
                  <c:v>20</c:v>
                </c:pt>
                <c:pt idx="1">
                  <c:v>21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D-4D1E-B287-28786C3010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514010127"/>
        <c:axId val="1617622575"/>
      </c:barChart>
      <c:catAx>
        <c:axId val="151401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622575"/>
        <c:crosses val="autoZero"/>
        <c:auto val="1"/>
        <c:lblAlgn val="ctr"/>
        <c:lblOffset val="100"/>
        <c:noMultiLvlLbl val="0"/>
      </c:catAx>
      <c:valAx>
        <c:axId val="16176225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401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image" Target="../media/image8.pn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0</xdr:colOff>
      <xdr:row>5</xdr:row>
      <xdr:rowOff>0</xdr:rowOff>
    </xdr:from>
    <xdr:ext cx="304800" cy="299028"/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5</xdr:col>
      <xdr:colOff>731520</xdr:colOff>
      <xdr:row>4</xdr:row>
      <xdr:rowOff>95250</xdr:rowOff>
    </xdr:from>
    <xdr:to>
      <xdr:col>9</xdr:col>
      <xdr:colOff>655320</xdr:colOff>
      <xdr:row>19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4DEB5C-E49F-8AF2-0546-18695E4E6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5988</xdr:colOff>
      <xdr:row>23</xdr:row>
      <xdr:rowOff>68035</xdr:rowOff>
    </xdr:from>
    <xdr:to>
      <xdr:col>11</xdr:col>
      <xdr:colOff>285750</xdr:colOff>
      <xdr:row>36</xdr:row>
      <xdr:rowOff>57694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136212-D963-87BC-EC19-F8A657231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548409</xdr:colOff>
      <xdr:row>40</xdr:row>
      <xdr:rowOff>65809</xdr:rowOff>
    </xdr:from>
    <xdr:to>
      <xdr:col>14</xdr:col>
      <xdr:colOff>155863</xdr:colOff>
      <xdr:row>55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744AED-700A-191B-107A-764540C4F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1288703</xdr:colOff>
      <xdr:row>40</xdr:row>
      <xdr:rowOff>136929</xdr:rowOff>
    </xdr:from>
    <xdr:to>
      <xdr:col>6</xdr:col>
      <xdr:colOff>163714</xdr:colOff>
      <xdr:row>54</xdr:row>
      <xdr:rowOff>132022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9D82B77B-B05F-577E-1471-A110412CF4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7425" y="752602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333375</xdr:colOff>
      <xdr:row>0</xdr:row>
      <xdr:rowOff>133349</xdr:rowOff>
    </xdr:from>
    <xdr:to>
      <xdr:col>0</xdr:col>
      <xdr:colOff>1162050</xdr:colOff>
      <xdr:row>2</xdr:row>
      <xdr:rowOff>74525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CC4AE9D-D4C2-4EE6-96DB-B75D5B68D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7857"/>
        <a:stretch>
          <a:fillRect/>
        </a:stretch>
      </xdr:blipFill>
      <xdr:spPr>
        <a:xfrm>
          <a:off x="333375" y="133349"/>
          <a:ext cx="828675" cy="750801"/>
        </a:xfrm>
        <a:prstGeom prst="rect">
          <a:avLst/>
        </a:prstGeom>
      </xdr:spPr>
    </xdr:pic>
    <xdr:clientData/>
  </xdr:twoCellAnchor>
  <xdr:twoCellAnchor>
    <xdr:from>
      <xdr:col>14</xdr:col>
      <xdr:colOff>354021</xdr:colOff>
      <xdr:row>28</xdr:row>
      <xdr:rowOff>98323</xdr:rowOff>
    </xdr:from>
    <xdr:to>
      <xdr:col>20</xdr:col>
      <xdr:colOff>268910</xdr:colOff>
      <xdr:row>37</xdr:row>
      <xdr:rowOff>38101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18F8E06-821F-2295-F2A8-600AC17E047E}"/>
            </a:ext>
          </a:extLst>
        </xdr:cNvPr>
        <xdr:cNvGrpSpPr/>
      </xdr:nvGrpSpPr>
      <xdr:grpSpPr>
        <a:xfrm>
          <a:off x="9190763" y="5641258"/>
          <a:ext cx="3601986" cy="1598972"/>
          <a:chOff x="8356497" y="6292645"/>
          <a:chExt cx="3601986" cy="1598972"/>
        </a:xfrm>
      </xdr:grpSpPr>
      <xdr:sp macro="" textlink="C̳álculos!T8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D73B5294-CE05-45C0-8F6E-9646D3764FA2}"/>
              </a:ext>
            </a:extLst>
          </xdr:cNvPr>
          <xdr:cNvSpPr/>
        </xdr:nvSpPr>
        <xdr:spPr>
          <a:xfrm>
            <a:off x="8356497" y="6337198"/>
            <a:ext cx="3582322" cy="1554419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21DF1F8-FF33-4790-A98A-59FADCFE7F31}" type="TxLink">
              <a:rPr lang="en-US" sz="4800" b="0" i="0" u="none" strike="noStrike">
                <a:solidFill>
                  <a:srgbClr val="000000"/>
                </a:solidFill>
                <a:latin typeface="Aptos Narrow"/>
              </a:rPr>
              <a:pPr algn="ctr"/>
              <a:t>47</a:t>
            </a:fld>
            <a:endParaRPr lang="pt-BR" sz="4800"/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51691106-2E35-6A3C-DC5B-DD00B1C49995}"/>
              </a:ext>
            </a:extLst>
          </xdr:cNvPr>
          <xdr:cNvSpPr/>
        </xdr:nvSpPr>
        <xdr:spPr>
          <a:xfrm>
            <a:off x="8382000" y="6292645"/>
            <a:ext cx="3576483" cy="67596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Qual a quantidade de planos Standart que não possuem renovação?</a:t>
            </a:r>
          </a:p>
        </xdr:txBody>
      </xdr:sp>
    </xdr:grpSp>
    <xdr:clientData/>
  </xdr:twoCellAnchor>
  <xdr:twoCellAnchor>
    <xdr:from>
      <xdr:col>0</xdr:col>
      <xdr:colOff>91082</xdr:colOff>
      <xdr:row>6</xdr:row>
      <xdr:rowOff>173785</xdr:rowOff>
    </xdr:from>
    <xdr:to>
      <xdr:col>10</xdr:col>
      <xdr:colOff>443680</xdr:colOff>
      <xdr:row>23</xdr:row>
      <xdr:rowOff>83267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CA4ED4F1-4DC3-0A60-3FEB-85FDC3D405E6}"/>
            </a:ext>
          </a:extLst>
        </xdr:cNvPr>
        <xdr:cNvGrpSpPr/>
      </xdr:nvGrpSpPr>
      <xdr:grpSpPr>
        <a:xfrm>
          <a:off x="91082" y="1427398"/>
          <a:ext cx="6891050" cy="3277030"/>
          <a:chOff x="91082" y="1427398"/>
          <a:chExt cx="6891050" cy="3277030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35FEB7BA-0DB4-4E77-EC5E-68B31A2AF8D0}"/>
              </a:ext>
            </a:extLst>
          </xdr:cNvPr>
          <xdr:cNvGrpSpPr/>
        </xdr:nvGrpSpPr>
        <xdr:grpSpPr>
          <a:xfrm>
            <a:off x="91082" y="1555955"/>
            <a:ext cx="6891050" cy="3148473"/>
            <a:chOff x="66502" y="1482213"/>
            <a:chExt cx="6891050" cy="3148473"/>
          </a:xfrm>
        </xdr:grpSpPr>
        <xdr:grpSp>
          <xdr:nvGrpSpPr>
            <xdr:cNvPr id="25" name="Agrupar 24">
              <a:extLst>
                <a:ext uri="{FF2B5EF4-FFF2-40B4-BE49-F238E27FC236}">
                  <a16:creationId xmlns:a16="http://schemas.microsoft.com/office/drawing/2014/main" id="{85E1F4A9-0D4F-20D1-49B5-F33DDEB69C0F}"/>
                </a:ext>
              </a:extLst>
            </xdr:cNvPr>
            <xdr:cNvGrpSpPr/>
          </xdr:nvGrpSpPr>
          <xdr:grpSpPr>
            <a:xfrm>
              <a:off x="66502" y="1482213"/>
              <a:ext cx="6891050" cy="3148473"/>
              <a:chOff x="66502" y="1482213"/>
              <a:chExt cx="6891050" cy="3148473"/>
            </a:xfrm>
          </xdr:grpSpPr>
          <xdr:grpSp>
            <xdr:nvGrpSpPr>
              <xdr:cNvPr id="18" name="Agrupar 17">
                <a:extLst>
                  <a:ext uri="{FF2B5EF4-FFF2-40B4-BE49-F238E27FC236}">
                    <a16:creationId xmlns:a16="http://schemas.microsoft.com/office/drawing/2014/main" id="{319A950A-0A67-EB5A-39C5-20F7D0605906}"/>
                  </a:ext>
                </a:extLst>
              </xdr:cNvPr>
              <xdr:cNvGrpSpPr/>
            </xdr:nvGrpSpPr>
            <xdr:grpSpPr>
              <a:xfrm>
                <a:off x="66502" y="1482213"/>
                <a:ext cx="6891050" cy="3148473"/>
                <a:chOff x="66675" y="1485900"/>
                <a:chExt cx="6848475" cy="3095625"/>
              </a:xfrm>
            </xdr:grpSpPr>
            <xdr:sp macro="" textlink="">
              <xdr:nvSpPr>
                <xdr:cNvPr id="9" name="Retângulo: Cantos Arredondados 8">
                  <a:extLst>
                    <a:ext uri="{FF2B5EF4-FFF2-40B4-BE49-F238E27FC236}">
                      <a16:creationId xmlns:a16="http://schemas.microsoft.com/office/drawing/2014/main" id="{9070E7A6-1D63-4011-A69A-F282182FE504}"/>
                    </a:ext>
                  </a:extLst>
                </xdr:cNvPr>
                <xdr:cNvSpPr/>
              </xdr:nvSpPr>
              <xdr:spPr>
                <a:xfrm>
                  <a:off x="66675" y="1485900"/>
                  <a:ext cx="6848475" cy="3095625"/>
                </a:xfrm>
                <a:prstGeom prst="roundRect">
                  <a:avLst>
                    <a:gd name="adj" fmla="val 18127"/>
                  </a:avLst>
                </a:prstGeom>
                <a:solidFill>
                  <a:schemeClr val="bg2">
                    <a:lumMod val="9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graphicFrame macro="">
              <xdr:nvGraphicFramePr>
                <xdr:cNvPr id="3" name="Gráfico 2">
                  <a:extLst>
                    <a:ext uri="{FF2B5EF4-FFF2-40B4-BE49-F238E27FC236}">
                      <a16:creationId xmlns:a16="http://schemas.microsoft.com/office/drawing/2014/main" id="{855EC8D1-64A7-42D3-B815-BC36E9B7BD3E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30890" y="1849239"/>
                <a:ext cx="4639266" cy="2391114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"/>
                </a:graphicData>
              </a:graphic>
            </xdr:graphicFrame>
          </xdr:grpSp>
          <xdr:sp macro="" textlink="">
            <xdr:nvSpPr>
              <xdr:cNvPr id="8" name="Retângulo 7">
                <a:extLst>
                  <a:ext uri="{FF2B5EF4-FFF2-40B4-BE49-F238E27FC236}">
                    <a16:creationId xmlns:a16="http://schemas.microsoft.com/office/drawing/2014/main" id="{5C53F83C-A218-4206-BC5A-AC8851D61214}"/>
                  </a:ext>
                </a:extLst>
              </xdr:cNvPr>
              <xdr:cNvSpPr/>
            </xdr:nvSpPr>
            <xdr:spPr>
              <a:xfrm>
                <a:off x="926824" y="1678858"/>
                <a:ext cx="5009402" cy="484239"/>
              </a:xfrm>
              <a:prstGeom prst="rect">
                <a:avLst/>
              </a:prstGeom>
              <a:solidFill>
                <a:schemeClr val="bg2">
                  <a:lumMod val="9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>
                    <a:solidFill>
                      <a:schemeClr val="bg2">
                        <a:lumMod val="10000"/>
                      </a:schemeClr>
                    </a:solidFill>
                  </a:rPr>
                  <a:t>Lucro</a:t>
                </a:r>
                <a:r>
                  <a:rPr lang="pt-BR" sz="1800" baseline="0">
                    <a:solidFill>
                      <a:schemeClr val="bg2">
                        <a:lumMod val="10000"/>
                      </a:schemeClr>
                    </a:solidFill>
                  </a:rPr>
                  <a:t> </a:t>
                </a:r>
                <a:r>
                  <a:rPr lang="pt-BR" sz="1800">
                    <a:solidFill>
                      <a:schemeClr val="bg2">
                        <a:lumMod val="10000"/>
                      </a:schemeClr>
                    </a:solidFill>
                  </a:rPr>
                  <a:t>total de quem possui EA</a:t>
                </a:r>
                <a:r>
                  <a:rPr lang="pt-BR" sz="1800" baseline="0">
                    <a:solidFill>
                      <a:schemeClr val="bg2">
                        <a:lumMod val="10000"/>
                      </a:schemeClr>
                    </a:solidFill>
                  </a:rPr>
                  <a:t> Play por Mês</a:t>
                </a:r>
                <a:endParaRPr lang="pt-BR" sz="1800">
                  <a:solidFill>
                    <a:schemeClr val="bg2">
                      <a:lumMod val="10000"/>
                    </a:schemeClr>
                  </a:solidFill>
                </a:endParaRPr>
              </a:p>
            </xdr:txBody>
          </xdr:sp>
        </xdr:grpSp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21" name="Meses (Start Date)">
                  <a:extLst>
                    <a:ext uri="{FF2B5EF4-FFF2-40B4-BE49-F238E27FC236}">
                      <a16:creationId xmlns:a16="http://schemas.microsoft.com/office/drawing/2014/main" id="{C4A5AF24-9E5E-C82F-9208-0B5E1F2E57BC}"/>
                    </a:ext>
                  </a:extLst>
                </xdr:cNvPr>
                <xdr:cNvGraphicFramePr/>
              </xdr:nvGraphicFramePr>
              <xdr:xfrm>
                <a:off x="5121186" y="2150805"/>
                <a:ext cx="1638491" cy="2273711"/>
              </xdr:xfrm>
              <a:graphic>
                <a:graphicData uri="http://schemas.microsoft.com/office/drawing/2010/slicer">
                  <sle:slicer xmlns:sle="http://schemas.microsoft.com/office/drawing/2010/slicer" name="Meses (Start Date)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5145766" y="2224547"/>
                  <a:ext cx="1638491" cy="227371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7021B838-5622-4AA5-8F92-31327ACC2C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541" y="1427398"/>
            <a:ext cx="1219200" cy="116586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557093</xdr:colOff>
      <xdr:row>6</xdr:row>
      <xdr:rowOff>302342</xdr:rowOff>
    </xdr:from>
    <xdr:to>
      <xdr:col>22</xdr:col>
      <xdr:colOff>247377</xdr:colOff>
      <xdr:row>23</xdr:row>
      <xdr:rowOff>83267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783C0101-B4E4-A25F-4533-7415667E48DD}"/>
            </a:ext>
          </a:extLst>
        </xdr:cNvPr>
        <xdr:cNvGrpSpPr/>
      </xdr:nvGrpSpPr>
      <xdr:grpSpPr>
        <a:xfrm>
          <a:off x="7095545" y="1555955"/>
          <a:ext cx="6904703" cy="3148473"/>
          <a:chOff x="7215648" y="1608122"/>
          <a:chExt cx="6904703" cy="3148473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2C23B395-8BC8-7C4F-4989-0D6D5E71EAD8}"/>
              </a:ext>
            </a:extLst>
          </xdr:cNvPr>
          <xdr:cNvGrpSpPr/>
        </xdr:nvGrpSpPr>
        <xdr:grpSpPr>
          <a:xfrm>
            <a:off x="7215648" y="1608122"/>
            <a:ext cx="6904703" cy="3148473"/>
            <a:chOff x="7305368" y="1491738"/>
            <a:chExt cx="6904703" cy="3148473"/>
          </a:xfrm>
        </xdr:grpSpPr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0BCE776F-2A1F-EABA-B385-0B26751078BB}"/>
                </a:ext>
              </a:extLst>
            </xdr:cNvPr>
            <xdr:cNvGrpSpPr/>
          </xdr:nvGrpSpPr>
          <xdr:grpSpPr>
            <a:xfrm>
              <a:off x="7305368" y="1491738"/>
              <a:ext cx="6904703" cy="3148473"/>
              <a:chOff x="7305368" y="1491738"/>
              <a:chExt cx="6904703" cy="3148473"/>
            </a:xfrm>
          </xdr:grpSpPr>
          <xdr:grpSp>
            <xdr:nvGrpSpPr>
              <xdr:cNvPr id="17" name="Agrupar 16">
                <a:extLst>
                  <a:ext uri="{FF2B5EF4-FFF2-40B4-BE49-F238E27FC236}">
                    <a16:creationId xmlns:a16="http://schemas.microsoft.com/office/drawing/2014/main" id="{27BF899A-1F37-9F02-11F2-1952EFAF5CCC}"/>
                  </a:ext>
                </a:extLst>
              </xdr:cNvPr>
              <xdr:cNvGrpSpPr/>
            </xdr:nvGrpSpPr>
            <xdr:grpSpPr>
              <a:xfrm>
                <a:off x="7305368" y="1491738"/>
                <a:ext cx="6904703" cy="3148473"/>
                <a:chOff x="8086725" y="2638425"/>
                <a:chExt cx="6848475" cy="3095625"/>
              </a:xfrm>
            </xdr:grpSpPr>
            <xdr:sp macro="" textlink="">
              <xdr:nvSpPr>
                <xdr:cNvPr id="15" name="Retângulo: Cantos Arredondados 14">
                  <a:extLst>
                    <a:ext uri="{FF2B5EF4-FFF2-40B4-BE49-F238E27FC236}">
                      <a16:creationId xmlns:a16="http://schemas.microsoft.com/office/drawing/2014/main" id="{5DBC9D03-D842-469A-B1D4-EEEB1893BC9B}"/>
                    </a:ext>
                  </a:extLst>
                </xdr:cNvPr>
                <xdr:cNvSpPr/>
              </xdr:nvSpPr>
              <xdr:spPr>
                <a:xfrm>
                  <a:off x="8086725" y="2638425"/>
                  <a:ext cx="6848475" cy="3095625"/>
                </a:xfrm>
                <a:prstGeom prst="roundRect">
                  <a:avLst>
                    <a:gd name="adj" fmla="val 18127"/>
                  </a:avLst>
                </a:prstGeom>
                <a:solidFill>
                  <a:schemeClr val="bg2">
                    <a:lumMod val="9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graphicFrame macro="">
              <xdr:nvGraphicFramePr>
                <xdr:cNvPr id="4" name="Gráfico 3">
                  <a:extLst>
                    <a:ext uri="{FF2B5EF4-FFF2-40B4-BE49-F238E27FC236}">
                      <a16:creationId xmlns:a16="http://schemas.microsoft.com/office/drawing/2014/main" id="{A8211A0F-3E36-496B-80CA-D4586B335AA8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8258175" y="3152775"/>
                <a:ext cx="4387033" cy="2466109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sp macro="" textlink="">
            <xdr:nvSpPr>
              <xdr:cNvPr id="7" name="Retângulo 6">
                <a:extLst>
                  <a:ext uri="{FF2B5EF4-FFF2-40B4-BE49-F238E27FC236}">
                    <a16:creationId xmlns:a16="http://schemas.microsoft.com/office/drawing/2014/main" id="{0A0C074E-E9D1-E44C-ACC5-22360F368258}"/>
                  </a:ext>
                </a:extLst>
              </xdr:cNvPr>
              <xdr:cNvSpPr/>
            </xdr:nvSpPr>
            <xdr:spPr>
              <a:xfrm>
                <a:off x="8222226" y="1610034"/>
                <a:ext cx="4989871" cy="479322"/>
              </a:xfrm>
              <a:prstGeom prst="rect">
                <a:avLst/>
              </a:prstGeom>
              <a:solidFill>
                <a:schemeClr val="bg2">
                  <a:lumMod val="9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 baseline="0">
                    <a:solidFill>
                      <a:schemeClr val="bg2">
                        <a:lumMod val="10000"/>
                      </a:schemeClr>
                    </a:solidFill>
                  </a:rPr>
                  <a:t>Valor total de auto renovação com Minecraft Season Pass Ativado e Desativado</a:t>
                </a:r>
                <a:endParaRPr lang="pt-BR" sz="1800">
                  <a:solidFill>
                    <a:schemeClr val="bg2">
                      <a:lumMod val="10000"/>
                    </a:schemeClr>
                  </a:solidFill>
                </a:endParaRPr>
              </a:p>
            </xdr:txBody>
          </xdr:sp>
        </xdr:grpSp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13" name="Subscription Type 2">
                  <a:extLst>
                    <a:ext uri="{FF2B5EF4-FFF2-40B4-BE49-F238E27FC236}">
                      <a16:creationId xmlns:a16="http://schemas.microsoft.com/office/drawing/2014/main" id="{B54D1193-65DA-3B11-A5ED-BFAB025D7A41}"/>
                    </a:ext>
                  </a:extLst>
                </xdr:cNvPr>
                <xdr:cNvGraphicFramePr/>
              </xdr:nvGraphicFramePr>
              <xdr:xfrm>
                <a:off x="12087286" y="2219387"/>
                <a:ext cx="1828800" cy="1221904"/>
              </xdr:xfrm>
              <a:graphic>
                <a:graphicData uri="http://schemas.microsoft.com/office/drawing/2010/slicer">
                  <sle:slicer xmlns:sle="http://schemas.microsoft.com/office/drawing/2010/slicer" name="Subscription Type 2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1877463" y="2283604"/>
                  <a:ext cx="1828800" cy="122190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5DF1923D-8613-2E5E-DD37-5D53D3342A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44593" y="1740310"/>
            <a:ext cx="555497" cy="58490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17341</xdr:colOff>
      <xdr:row>24</xdr:row>
      <xdr:rowOff>12290</xdr:rowOff>
    </xdr:from>
    <xdr:to>
      <xdr:col>10</xdr:col>
      <xdr:colOff>557093</xdr:colOff>
      <xdr:row>41</xdr:row>
      <xdr:rowOff>31341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47148D12-CAEC-9AE4-B898-EF83B6FC1E9A}"/>
            </a:ext>
          </a:extLst>
        </xdr:cNvPr>
        <xdr:cNvGrpSpPr/>
      </xdr:nvGrpSpPr>
      <xdr:grpSpPr>
        <a:xfrm>
          <a:off x="17341" y="4817806"/>
          <a:ext cx="7078204" cy="3153083"/>
          <a:chOff x="17341" y="4817806"/>
          <a:chExt cx="7078204" cy="3153083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85EFF684-6CE2-8274-41F7-7F230BC35186}"/>
              </a:ext>
            </a:extLst>
          </xdr:cNvPr>
          <xdr:cNvGrpSpPr/>
        </xdr:nvGrpSpPr>
        <xdr:grpSpPr>
          <a:xfrm>
            <a:off x="17341" y="4817806"/>
            <a:ext cx="7078204" cy="3153083"/>
            <a:chOff x="66502" y="5358581"/>
            <a:chExt cx="7078204" cy="3153083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80D6408C-B8DD-F89A-0AC9-EF0DEEEF6C9A}"/>
                </a:ext>
              </a:extLst>
            </xdr:cNvPr>
            <xdr:cNvGrpSpPr/>
          </xdr:nvGrpSpPr>
          <xdr:grpSpPr>
            <a:xfrm>
              <a:off x="66502" y="5358581"/>
              <a:ext cx="7078204" cy="3153083"/>
              <a:chOff x="200025" y="4857750"/>
              <a:chExt cx="6848475" cy="3095625"/>
            </a:xfrm>
          </xdr:grpSpPr>
          <xdr:sp macro="" textlink="">
            <xdr:nvSpPr>
              <xdr:cNvPr id="16" name="Retângulo: Cantos Arredondados 15">
                <a:extLst>
                  <a:ext uri="{FF2B5EF4-FFF2-40B4-BE49-F238E27FC236}">
                    <a16:creationId xmlns:a16="http://schemas.microsoft.com/office/drawing/2014/main" id="{6E1F6A12-15E9-412E-8CC7-BBB4DA6F25C5}"/>
                  </a:ext>
                </a:extLst>
              </xdr:cNvPr>
              <xdr:cNvSpPr/>
            </xdr:nvSpPr>
            <xdr:spPr>
              <a:xfrm>
                <a:off x="200025" y="4857750"/>
                <a:ext cx="6848475" cy="3095625"/>
              </a:xfrm>
              <a:prstGeom prst="roundRect">
                <a:avLst>
                  <a:gd name="adj" fmla="val 18127"/>
                </a:avLst>
              </a:prstGeom>
              <a:solidFill>
                <a:schemeClr val="bg2">
                  <a:lumMod val="9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9B223229-A55F-4F7F-9AF0-3DB8B81E666B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71474" y="5581650"/>
              <a:ext cx="4900660" cy="224790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20" name="Subscription Type 1">
                  <a:extLst>
                    <a:ext uri="{FF2B5EF4-FFF2-40B4-BE49-F238E27FC236}">
                      <a16:creationId xmlns:a16="http://schemas.microsoft.com/office/drawing/2014/main" id="{6F9600C0-B379-47CF-9675-115C3539460D}"/>
                    </a:ext>
                  </a:extLst>
                </xdr:cNvPr>
                <xdr:cNvGraphicFramePr/>
              </xdr:nvGraphicFramePr>
              <xdr:xfrm>
                <a:off x="5287647" y="6180417"/>
                <a:ext cx="1633035" cy="1299366"/>
              </xdr:xfrm>
              <a:graphic>
                <a:graphicData uri="http://schemas.microsoft.com/office/drawing/2010/slicer">
                  <sle:slicer xmlns:sle="http://schemas.microsoft.com/office/drawing/2010/slicer" name="Subscription Type 1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5238486" y="5639642"/>
                  <a:ext cx="1633035" cy="1299366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10" name="Retângulo 9">
              <a:extLst>
                <a:ext uri="{FF2B5EF4-FFF2-40B4-BE49-F238E27FC236}">
                  <a16:creationId xmlns:a16="http://schemas.microsoft.com/office/drawing/2014/main" id="{21323F78-A9A8-4DC7-92F9-772D54493A7B}"/>
                </a:ext>
              </a:extLst>
            </xdr:cNvPr>
            <xdr:cNvSpPr/>
          </xdr:nvSpPr>
          <xdr:spPr>
            <a:xfrm>
              <a:off x="897194" y="5358581"/>
              <a:ext cx="5137354" cy="725129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>
                  <a:solidFill>
                    <a:schemeClr val="bg2">
                      <a:lumMod val="10000"/>
                    </a:schemeClr>
                  </a:solidFill>
                </a:rPr>
                <a:t>Quantidade total de</a:t>
              </a:r>
              <a:r>
                <a:rPr lang="pt-BR" sz="1800" baseline="0">
                  <a:solidFill>
                    <a:schemeClr val="bg2">
                      <a:lumMod val="10000"/>
                    </a:schemeClr>
                  </a:solidFill>
                </a:rPr>
                <a:t> assinaturas por </a:t>
              </a:r>
              <a:r>
                <a:rPr lang="pt-BR" sz="1800">
                  <a:solidFill>
                    <a:schemeClr val="bg2">
                      <a:lumMod val="10000"/>
                    </a:schemeClr>
                  </a:solidFill>
                </a:rPr>
                <a:t>tipo de plano por</a:t>
              </a:r>
              <a:r>
                <a:rPr lang="pt-BR" sz="1800" baseline="0">
                  <a:solidFill>
                    <a:schemeClr val="bg2">
                      <a:lumMod val="10000"/>
                    </a:schemeClr>
                  </a:solidFill>
                </a:rPr>
                <a:t> segmento de tempo</a:t>
              </a:r>
              <a:endParaRPr lang="pt-BR" sz="1800">
                <a:solidFill>
                  <a:schemeClr val="bg2">
                    <a:lumMod val="10000"/>
                  </a:schemeClr>
                </a:solidFill>
              </a:endParaRPr>
            </a:p>
          </xdr:txBody>
        </xdr:sp>
      </xdr:grp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8799862D-E0CB-41A2-BC2E-94ABFC271A69}"/>
              </a:ext>
            </a:extLst>
          </xdr:cNvPr>
          <xdr:cNvSpPr/>
        </xdr:nvSpPr>
        <xdr:spPr>
          <a:xfrm>
            <a:off x="256079" y="4892202"/>
            <a:ext cx="695325" cy="662940"/>
          </a:xfrm>
          <a:prstGeom prst="ellipse">
            <a:avLst/>
          </a:prstGeom>
          <a:blipFill>
            <a:blip xmlns:r="http://schemas.openxmlformats.org/officeDocument/2006/relationships" r:embed="rId7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Nicolas" refreshedDate="45983.988946874997" createdVersion="8" refreshedVersion="8" minRefreshableVersion="3" recordCount="295" xr:uid="{C7932BC3-E375-4D35-A8AB-772D68D26DA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9534321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x v="0"/>
    <x v="0"/>
    <n v="20"/>
    <x v="0"/>
    <x v="0"/>
  </r>
  <r>
    <n v="3232"/>
    <s v="Maria Oliveira"/>
    <x v="1"/>
    <x v="1"/>
    <x v="1"/>
    <n v="5"/>
    <x v="1"/>
    <x v="1"/>
    <x v="1"/>
    <x v="1"/>
    <n v="0"/>
    <x v="1"/>
    <x v="1"/>
  </r>
  <r>
    <n v="3233"/>
    <s v="Lucas Fernandes"/>
    <x v="2"/>
    <x v="2"/>
    <x v="0"/>
    <n v="10"/>
    <x v="2"/>
    <x v="1"/>
    <x v="1"/>
    <x v="0"/>
    <n v="20"/>
    <x v="2"/>
    <x v="2"/>
  </r>
  <r>
    <n v="3234"/>
    <s v="Ana Souza"/>
    <x v="0"/>
    <x v="3"/>
    <x v="1"/>
    <n v="15"/>
    <x v="0"/>
    <x v="0"/>
    <x v="0"/>
    <x v="0"/>
    <n v="20"/>
    <x v="3"/>
    <x v="3"/>
  </r>
  <r>
    <n v="3235"/>
    <s v="Pedro Gonçalves"/>
    <x v="1"/>
    <x v="4"/>
    <x v="0"/>
    <n v="5"/>
    <x v="0"/>
    <x v="1"/>
    <x v="1"/>
    <x v="1"/>
    <n v="0"/>
    <x v="4"/>
    <x v="4"/>
  </r>
  <r>
    <n v="3236"/>
    <s v="Felipe Costa"/>
    <x v="2"/>
    <x v="5"/>
    <x v="1"/>
    <n v="10"/>
    <x v="0"/>
    <x v="1"/>
    <x v="1"/>
    <x v="0"/>
    <n v="20"/>
    <x v="5"/>
    <x v="5"/>
  </r>
  <r>
    <n v="3237"/>
    <s v="Camila Ribeiro"/>
    <x v="0"/>
    <x v="6"/>
    <x v="0"/>
    <n v="15"/>
    <x v="2"/>
    <x v="0"/>
    <x v="0"/>
    <x v="0"/>
    <n v="20"/>
    <x v="2"/>
    <x v="6"/>
  </r>
  <r>
    <n v="3238"/>
    <s v="André Mendes"/>
    <x v="1"/>
    <x v="7"/>
    <x v="0"/>
    <n v="5"/>
    <x v="1"/>
    <x v="1"/>
    <x v="1"/>
    <x v="1"/>
    <n v="0"/>
    <x v="1"/>
    <x v="1"/>
  </r>
  <r>
    <n v="3239"/>
    <s v="Sofia Almeida"/>
    <x v="0"/>
    <x v="4"/>
    <x v="1"/>
    <n v="15"/>
    <x v="0"/>
    <x v="0"/>
    <x v="0"/>
    <x v="0"/>
    <n v="20"/>
    <x v="0"/>
    <x v="0"/>
  </r>
  <r>
    <n v="3240"/>
    <s v="Bruno Martins"/>
    <x v="2"/>
    <x v="8"/>
    <x v="0"/>
    <n v="10"/>
    <x v="2"/>
    <x v="1"/>
    <x v="1"/>
    <x v="0"/>
    <n v="20"/>
    <x v="6"/>
    <x v="7"/>
  </r>
  <r>
    <n v="3241"/>
    <s v="Rita Castro"/>
    <x v="1"/>
    <x v="9"/>
    <x v="1"/>
    <n v="5"/>
    <x v="0"/>
    <x v="1"/>
    <x v="1"/>
    <x v="1"/>
    <n v="0"/>
    <x v="4"/>
    <x v="4"/>
  </r>
  <r>
    <n v="3242"/>
    <s v="Marco Túlio"/>
    <x v="0"/>
    <x v="10"/>
    <x v="0"/>
    <n v="15"/>
    <x v="1"/>
    <x v="0"/>
    <x v="0"/>
    <x v="0"/>
    <n v="20"/>
    <x v="7"/>
    <x v="8"/>
  </r>
  <r>
    <n v="3243"/>
    <s v="Lívia Silveira"/>
    <x v="2"/>
    <x v="11"/>
    <x v="1"/>
    <n v="10"/>
    <x v="0"/>
    <x v="1"/>
    <x v="1"/>
    <x v="0"/>
    <n v="20"/>
    <x v="2"/>
    <x v="2"/>
  </r>
  <r>
    <n v="3244"/>
    <s v="Diogo Sousa"/>
    <x v="1"/>
    <x v="12"/>
    <x v="0"/>
    <n v="5"/>
    <x v="2"/>
    <x v="1"/>
    <x v="1"/>
    <x v="1"/>
    <n v="0"/>
    <x v="1"/>
    <x v="1"/>
  </r>
  <r>
    <n v="3245"/>
    <s v="Fernanda Lima"/>
    <x v="0"/>
    <x v="13"/>
    <x v="1"/>
    <n v="15"/>
    <x v="0"/>
    <x v="0"/>
    <x v="0"/>
    <x v="0"/>
    <n v="20"/>
    <x v="8"/>
    <x v="9"/>
  </r>
  <r>
    <n v="3246"/>
    <s v="Caio Pereira"/>
    <x v="2"/>
    <x v="14"/>
    <x v="0"/>
    <n v="10"/>
    <x v="1"/>
    <x v="1"/>
    <x v="1"/>
    <x v="0"/>
    <n v="20"/>
    <x v="9"/>
    <x v="10"/>
  </r>
  <r>
    <n v="3247"/>
    <s v="Beatriz Gomes"/>
    <x v="1"/>
    <x v="15"/>
    <x v="1"/>
    <n v="5"/>
    <x v="0"/>
    <x v="1"/>
    <x v="1"/>
    <x v="1"/>
    <n v="0"/>
    <x v="5"/>
    <x v="11"/>
  </r>
  <r>
    <n v="3248"/>
    <s v="Cesar Oliveira"/>
    <x v="0"/>
    <x v="16"/>
    <x v="0"/>
    <n v="15"/>
    <x v="2"/>
    <x v="0"/>
    <x v="0"/>
    <x v="0"/>
    <n v="20"/>
    <x v="10"/>
    <x v="12"/>
  </r>
  <r>
    <n v="3249"/>
    <s v="Débora Machado"/>
    <x v="2"/>
    <x v="17"/>
    <x v="1"/>
    <n v="10"/>
    <x v="0"/>
    <x v="1"/>
    <x v="1"/>
    <x v="0"/>
    <n v="20"/>
    <x v="0"/>
    <x v="13"/>
  </r>
  <r>
    <n v="3250"/>
    <s v="Eduardo Vargas"/>
    <x v="1"/>
    <x v="18"/>
    <x v="0"/>
    <n v="5"/>
    <x v="1"/>
    <x v="1"/>
    <x v="1"/>
    <x v="1"/>
    <n v="0"/>
    <x v="1"/>
    <x v="1"/>
  </r>
  <r>
    <n v="3251"/>
    <s v="Gabriela Santos"/>
    <x v="0"/>
    <x v="19"/>
    <x v="1"/>
    <n v="15"/>
    <x v="0"/>
    <x v="0"/>
    <x v="0"/>
    <x v="0"/>
    <n v="20"/>
    <x v="3"/>
    <x v="3"/>
  </r>
  <r>
    <n v="3252"/>
    <s v="Henrique Dias"/>
    <x v="2"/>
    <x v="20"/>
    <x v="0"/>
    <n v="10"/>
    <x v="2"/>
    <x v="1"/>
    <x v="1"/>
    <x v="0"/>
    <n v="20"/>
    <x v="6"/>
    <x v="7"/>
  </r>
  <r>
    <n v="3253"/>
    <s v="Isabela Moreira"/>
    <x v="1"/>
    <x v="21"/>
    <x v="1"/>
    <n v="5"/>
    <x v="0"/>
    <x v="1"/>
    <x v="1"/>
    <x v="1"/>
    <n v="0"/>
    <x v="4"/>
    <x v="4"/>
  </r>
  <r>
    <n v="3254"/>
    <s v="Joaquim Barbosa"/>
    <x v="0"/>
    <x v="22"/>
    <x v="0"/>
    <n v="15"/>
    <x v="1"/>
    <x v="0"/>
    <x v="0"/>
    <x v="0"/>
    <n v="20"/>
    <x v="7"/>
    <x v="8"/>
  </r>
  <r>
    <n v="3255"/>
    <s v="Lara Rocha"/>
    <x v="2"/>
    <x v="23"/>
    <x v="1"/>
    <n v="10"/>
    <x v="0"/>
    <x v="1"/>
    <x v="1"/>
    <x v="0"/>
    <n v="20"/>
    <x v="2"/>
    <x v="2"/>
  </r>
  <r>
    <n v="3256"/>
    <s v="Matheus Silva"/>
    <x v="1"/>
    <x v="24"/>
    <x v="0"/>
    <n v="5"/>
    <x v="2"/>
    <x v="1"/>
    <x v="1"/>
    <x v="1"/>
    <n v="0"/>
    <x v="1"/>
    <x v="1"/>
  </r>
  <r>
    <n v="3257"/>
    <s v="Nicole Costa"/>
    <x v="0"/>
    <x v="25"/>
    <x v="1"/>
    <n v="15"/>
    <x v="0"/>
    <x v="0"/>
    <x v="0"/>
    <x v="0"/>
    <n v="20"/>
    <x v="0"/>
    <x v="0"/>
  </r>
  <r>
    <n v="3258"/>
    <s v="Otávio Mendonça"/>
    <x v="2"/>
    <x v="26"/>
    <x v="0"/>
    <n v="10"/>
    <x v="1"/>
    <x v="1"/>
    <x v="1"/>
    <x v="0"/>
    <n v="20"/>
    <x v="6"/>
    <x v="7"/>
  </r>
  <r>
    <n v="3259"/>
    <s v="Paula Ferreira"/>
    <x v="1"/>
    <x v="27"/>
    <x v="1"/>
    <n v="5"/>
    <x v="0"/>
    <x v="1"/>
    <x v="1"/>
    <x v="1"/>
    <n v="0"/>
    <x v="4"/>
    <x v="4"/>
  </r>
  <r>
    <n v="3260"/>
    <s v="Raquel Alves"/>
    <x v="0"/>
    <x v="28"/>
    <x v="0"/>
    <n v="15"/>
    <x v="2"/>
    <x v="0"/>
    <x v="0"/>
    <x v="0"/>
    <n v="20"/>
    <x v="10"/>
    <x v="12"/>
  </r>
  <r>
    <n v="3261"/>
    <s v="Samuel Pires"/>
    <x v="2"/>
    <x v="29"/>
    <x v="1"/>
    <n v="10"/>
    <x v="0"/>
    <x v="1"/>
    <x v="1"/>
    <x v="0"/>
    <n v="20"/>
    <x v="2"/>
    <x v="2"/>
  </r>
  <r>
    <n v="3262"/>
    <s v="Tânia Barros"/>
    <x v="1"/>
    <x v="30"/>
    <x v="0"/>
    <n v="5"/>
    <x v="1"/>
    <x v="1"/>
    <x v="1"/>
    <x v="1"/>
    <n v="0"/>
    <x v="1"/>
    <x v="1"/>
  </r>
  <r>
    <n v="3263"/>
    <s v="Vinicius Lima"/>
    <x v="0"/>
    <x v="31"/>
    <x v="1"/>
    <n v="15"/>
    <x v="0"/>
    <x v="0"/>
    <x v="0"/>
    <x v="0"/>
    <n v="20"/>
    <x v="3"/>
    <x v="3"/>
  </r>
  <r>
    <n v="3264"/>
    <s v="Yasmin Teixeira"/>
    <x v="2"/>
    <x v="32"/>
    <x v="0"/>
    <n v="10"/>
    <x v="2"/>
    <x v="1"/>
    <x v="1"/>
    <x v="0"/>
    <n v="20"/>
    <x v="6"/>
    <x v="7"/>
  </r>
  <r>
    <n v="3265"/>
    <s v="Zé Carlos"/>
    <x v="1"/>
    <x v="33"/>
    <x v="1"/>
    <n v="5"/>
    <x v="0"/>
    <x v="1"/>
    <x v="1"/>
    <x v="1"/>
    <n v="0"/>
    <x v="4"/>
    <x v="4"/>
  </r>
  <r>
    <n v="3266"/>
    <s v="Amanda Nogueira"/>
    <x v="1"/>
    <x v="34"/>
    <x v="0"/>
    <n v="5"/>
    <x v="0"/>
    <x v="1"/>
    <x v="1"/>
    <x v="1"/>
    <n v="0"/>
    <x v="1"/>
    <x v="1"/>
  </r>
  <r>
    <n v="3267"/>
    <s v="Bruno Cavalheiro"/>
    <x v="0"/>
    <x v="35"/>
    <x v="1"/>
    <n v="15"/>
    <x v="2"/>
    <x v="0"/>
    <x v="0"/>
    <x v="0"/>
    <n v="20"/>
    <x v="10"/>
    <x v="12"/>
  </r>
  <r>
    <n v="3268"/>
    <s v="Carla Dias"/>
    <x v="2"/>
    <x v="36"/>
    <x v="0"/>
    <n v="10"/>
    <x v="1"/>
    <x v="1"/>
    <x v="1"/>
    <x v="0"/>
    <n v="20"/>
    <x v="2"/>
    <x v="2"/>
  </r>
  <r>
    <n v="3269"/>
    <s v="Diego Fontes"/>
    <x v="1"/>
    <x v="37"/>
    <x v="1"/>
    <n v="5"/>
    <x v="2"/>
    <x v="1"/>
    <x v="1"/>
    <x v="1"/>
    <n v="0"/>
    <x v="4"/>
    <x v="4"/>
  </r>
  <r>
    <n v="3270"/>
    <s v="Eunice Lima"/>
    <x v="0"/>
    <x v="38"/>
    <x v="0"/>
    <n v="15"/>
    <x v="0"/>
    <x v="0"/>
    <x v="0"/>
    <x v="0"/>
    <n v="20"/>
    <x v="6"/>
    <x v="14"/>
  </r>
  <r>
    <n v="3271"/>
    <s v="Fábio Martins"/>
    <x v="2"/>
    <x v="39"/>
    <x v="1"/>
    <n v="10"/>
    <x v="0"/>
    <x v="1"/>
    <x v="1"/>
    <x v="0"/>
    <n v="20"/>
    <x v="0"/>
    <x v="13"/>
  </r>
  <r>
    <n v="3272"/>
    <s v="Gisele Araújo"/>
    <x v="1"/>
    <x v="40"/>
    <x v="0"/>
    <n v="5"/>
    <x v="1"/>
    <x v="1"/>
    <x v="1"/>
    <x v="1"/>
    <n v="0"/>
    <x v="1"/>
    <x v="1"/>
  </r>
  <r>
    <n v="3273"/>
    <s v="Hélio Castro"/>
    <x v="0"/>
    <x v="41"/>
    <x v="1"/>
    <n v="15"/>
    <x v="2"/>
    <x v="0"/>
    <x v="0"/>
    <x v="0"/>
    <n v="20"/>
    <x v="7"/>
    <x v="8"/>
  </r>
  <r>
    <n v="3274"/>
    <s v="Ingrid Menezes"/>
    <x v="2"/>
    <x v="42"/>
    <x v="0"/>
    <n v="10"/>
    <x v="2"/>
    <x v="1"/>
    <x v="1"/>
    <x v="0"/>
    <n v="20"/>
    <x v="9"/>
    <x v="10"/>
  </r>
  <r>
    <n v="3275"/>
    <s v="Jorge Baptista"/>
    <x v="1"/>
    <x v="43"/>
    <x v="1"/>
    <n v="5"/>
    <x v="0"/>
    <x v="1"/>
    <x v="1"/>
    <x v="1"/>
    <n v="0"/>
    <x v="5"/>
    <x v="11"/>
  </r>
  <r>
    <n v="3276"/>
    <s v="Kléber Oliveira"/>
    <x v="0"/>
    <x v="44"/>
    <x v="0"/>
    <n v="15"/>
    <x v="1"/>
    <x v="0"/>
    <x v="0"/>
    <x v="0"/>
    <n v="20"/>
    <x v="0"/>
    <x v="0"/>
  </r>
  <r>
    <n v="3277"/>
    <s v="Luciana Freitas"/>
    <x v="2"/>
    <x v="45"/>
    <x v="1"/>
    <n v="10"/>
    <x v="0"/>
    <x v="1"/>
    <x v="1"/>
    <x v="0"/>
    <n v="20"/>
    <x v="2"/>
    <x v="2"/>
  </r>
  <r>
    <n v="3278"/>
    <s v="Márcia Eller"/>
    <x v="1"/>
    <x v="46"/>
    <x v="0"/>
    <n v="5"/>
    <x v="2"/>
    <x v="1"/>
    <x v="1"/>
    <x v="1"/>
    <n v="0"/>
    <x v="1"/>
    <x v="1"/>
  </r>
  <r>
    <n v="3279"/>
    <s v="Nilo Peçanha"/>
    <x v="0"/>
    <x v="47"/>
    <x v="1"/>
    <n v="15"/>
    <x v="0"/>
    <x v="0"/>
    <x v="0"/>
    <x v="0"/>
    <n v="20"/>
    <x v="3"/>
    <x v="3"/>
  </r>
  <r>
    <n v="3280"/>
    <s v="Oscar Neves"/>
    <x v="2"/>
    <x v="48"/>
    <x v="0"/>
    <n v="10"/>
    <x v="1"/>
    <x v="1"/>
    <x v="1"/>
    <x v="0"/>
    <n v="20"/>
    <x v="6"/>
    <x v="7"/>
  </r>
  <r>
    <n v="3281"/>
    <s v="Patrícia Soares"/>
    <x v="1"/>
    <x v="49"/>
    <x v="1"/>
    <n v="5"/>
    <x v="0"/>
    <x v="1"/>
    <x v="1"/>
    <x v="1"/>
    <n v="0"/>
    <x v="4"/>
    <x v="4"/>
  </r>
  <r>
    <n v="3282"/>
    <s v="Quirino Gonçalves"/>
    <x v="0"/>
    <x v="50"/>
    <x v="0"/>
    <n v="15"/>
    <x v="2"/>
    <x v="0"/>
    <x v="0"/>
    <x v="0"/>
    <n v="20"/>
    <x v="10"/>
    <x v="12"/>
  </r>
  <r>
    <n v="3283"/>
    <s v="Raul Machado"/>
    <x v="2"/>
    <x v="51"/>
    <x v="1"/>
    <n v="10"/>
    <x v="0"/>
    <x v="1"/>
    <x v="1"/>
    <x v="0"/>
    <n v="20"/>
    <x v="2"/>
    <x v="2"/>
  </r>
  <r>
    <n v="3284"/>
    <s v="Sônia Lobo"/>
    <x v="1"/>
    <x v="52"/>
    <x v="0"/>
    <n v="5"/>
    <x v="1"/>
    <x v="1"/>
    <x v="1"/>
    <x v="1"/>
    <n v="0"/>
    <x v="1"/>
    <x v="1"/>
  </r>
  <r>
    <n v="3285"/>
    <s v="Tiago Ramos"/>
    <x v="0"/>
    <x v="53"/>
    <x v="1"/>
    <n v="15"/>
    <x v="0"/>
    <x v="0"/>
    <x v="0"/>
    <x v="0"/>
    <n v="20"/>
    <x v="7"/>
    <x v="8"/>
  </r>
  <r>
    <n v="3286"/>
    <s v="Ugo Pires"/>
    <x v="2"/>
    <x v="54"/>
    <x v="0"/>
    <n v="10"/>
    <x v="2"/>
    <x v="1"/>
    <x v="1"/>
    <x v="0"/>
    <n v="20"/>
    <x v="6"/>
    <x v="7"/>
  </r>
  <r>
    <n v="3287"/>
    <s v="Valéria Nobre"/>
    <x v="1"/>
    <x v="55"/>
    <x v="1"/>
    <n v="5"/>
    <x v="0"/>
    <x v="1"/>
    <x v="1"/>
    <x v="1"/>
    <n v="0"/>
    <x v="4"/>
    <x v="4"/>
  </r>
  <r>
    <n v="3288"/>
    <s v="William Siqueira"/>
    <x v="0"/>
    <x v="56"/>
    <x v="0"/>
    <n v="15"/>
    <x v="1"/>
    <x v="0"/>
    <x v="0"/>
    <x v="0"/>
    <n v="20"/>
    <x v="3"/>
    <x v="3"/>
  </r>
  <r>
    <n v="3289"/>
    <s v="Xuxa Meneghel"/>
    <x v="2"/>
    <x v="57"/>
    <x v="1"/>
    <n v="10"/>
    <x v="0"/>
    <x v="1"/>
    <x v="1"/>
    <x v="0"/>
    <n v="20"/>
    <x v="2"/>
    <x v="2"/>
  </r>
  <r>
    <n v="3290"/>
    <s v="Yara Figueiredo"/>
    <x v="1"/>
    <x v="58"/>
    <x v="0"/>
    <n v="5"/>
    <x v="2"/>
    <x v="1"/>
    <x v="1"/>
    <x v="1"/>
    <n v="0"/>
    <x v="1"/>
    <x v="1"/>
  </r>
  <r>
    <n v="3291"/>
    <s v="Zacarias Alves"/>
    <x v="0"/>
    <x v="59"/>
    <x v="1"/>
    <n v="15"/>
    <x v="0"/>
    <x v="0"/>
    <x v="0"/>
    <x v="0"/>
    <n v="20"/>
    <x v="0"/>
    <x v="0"/>
  </r>
  <r>
    <n v="3292"/>
    <s v="Amanda Bynes"/>
    <x v="2"/>
    <x v="60"/>
    <x v="0"/>
    <n v="10"/>
    <x v="1"/>
    <x v="1"/>
    <x v="1"/>
    <x v="0"/>
    <n v="20"/>
    <x v="6"/>
    <x v="7"/>
  </r>
  <r>
    <n v="3293"/>
    <s v="Bruno Mars"/>
    <x v="1"/>
    <x v="61"/>
    <x v="1"/>
    <n v="5"/>
    <x v="0"/>
    <x v="1"/>
    <x v="1"/>
    <x v="1"/>
    <n v="0"/>
    <x v="4"/>
    <x v="4"/>
  </r>
  <r>
    <n v="3294"/>
    <s v="Carla Bruni"/>
    <x v="0"/>
    <x v="62"/>
    <x v="0"/>
    <n v="15"/>
    <x v="2"/>
    <x v="0"/>
    <x v="0"/>
    <x v="0"/>
    <n v="20"/>
    <x v="7"/>
    <x v="8"/>
  </r>
  <r>
    <n v="3295"/>
    <s v="Diego Maradona"/>
    <x v="2"/>
    <x v="63"/>
    <x v="1"/>
    <n v="10"/>
    <x v="0"/>
    <x v="1"/>
    <x v="1"/>
    <x v="0"/>
    <n v="20"/>
    <x v="0"/>
    <x v="13"/>
  </r>
  <r>
    <n v="3296"/>
    <s v="Estela Marques"/>
    <x v="1"/>
    <x v="64"/>
    <x v="1"/>
    <n v="5"/>
    <x v="0"/>
    <x v="1"/>
    <x v="1"/>
    <x v="1"/>
    <n v="0"/>
    <x v="1"/>
    <x v="1"/>
  </r>
  <r>
    <n v="3297"/>
    <s v="Fábio Nobre"/>
    <x v="0"/>
    <x v="65"/>
    <x v="0"/>
    <n v="15"/>
    <x v="2"/>
    <x v="0"/>
    <x v="0"/>
    <x v="0"/>
    <n v="20"/>
    <x v="10"/>
    <x v="12"/>
  </r>
  <r>
    <n v="3298"/>
    <s v="Gabriel Oliveira"/>
    <x v="2"/>
    <x v="66"/>
    <x v="1"/>
    <n v="10"/>
    <x v="1"/>
    <x v="1"/>
    <x v="1"/>
    <x v="0"/>
    <n v="20"/>
    <x v="2"/>
    <x v="2"/>
  </r>
  <r>
    <n v="3299"/>
    <s v="Helena Santos"/>
    <x v="1"/>
    <x v="67"/>
    <x v="0"/>
    <n v="5"/>
    <x v="2"/>
    <x v="1"/>
    <x v="1"/>
    <x v="1"/>
    <n v="0"/>
    <x v="4"/>
    <x v="4"/>
  </r>
  <r>
    <n v="3300"/>
    <s v="Ivan Carvalho"/>
    <x v="0"/>
    <x v="68"/>
    <x v="1"/>
    <n v="15"/>
    <x v="0"/>
    <x v="0"/>
    <x v="0"/>
    <x v="0"/>
    <n v="20"/>
    <x v="6"/>
    <x v="14"/>
  </r>
  <r>
    <n v="3301"/>
    <s v="Júlia Ferreira"/>
    <x v="2"/>
    <x v="69"/>
    <x v="0"/>
    <n v="10"/>
    <x v="0"/>
    <x v="1"/>
    <x v="1"/>
    <x v="0"/>
    <n v="20"/>
    <x v="0"/>
    <x v="13"/>
  </r>
  <r>
    <n v="3302"/>
    <s v="Karla Alves"/>
    <x v="1"/>
    <x v="70"/>
    <x v="1"/>
    <n v="5"/>
    <x v="1"/>
    <x v="1"/>
    <x v="1"/>
    <x v="1"/>
    <n v="0"/>
    <x v="1"/>
    <x v="1"/>
  </r>
  <r>
    <n v="3303"/>
    <s v="Lucas Mendes"/>
    <x v="0"/>
    <x v="71"/>
    <x v="0"/>
    <n v="15"/>
    <x v="2"/>
    <x v="0"/>
    <x v="0"/>
    <x v="0"/>
    <n v="20"/>
    <x v="7"/>
    <x v="8"/>
  </r>
  <r>
    <n v="3304"/>
    <s v="Mônica Gomes"/>
    <x v="2"/>
    <x v="72"/>
    <x v="1"/>
    <n v="10"/>
    <x v="2"/>
    <x v="1"/>
    <x v="1"/>
    <x v="0"/>
    <n v="20"/>
    <x v="9"/>
    <x v="10"/>
  </r>
  <r>
    <n v="3305"/>
    <s v="Norberto Queiroz"/>
    <x v="1"/>
    <x v="73"/>
    <x v="0"/>
    <n v="5"/>
    <x v="0"/>
    <x v="1"/>
    <x v="1"/>
    <x v="1"/>
    <n v="0"/>
    <x v="5"/>
    <x v="11"/>
  </r>
  <r>
    <n v="3306"/>
    <s v="Otávio Barros"/>
    <x v="0"/>
    <x v="74"/>
    <x v="1"/>
    <n v="15"/>
    <x v="1"/>
    <x v="0"/>
    <x v="0"/>
    <x v="0"/>
    <n v="20"/>
    <x v="0"/>
    <x v="0"/>
  </r>
  <r>
    <n v="3307"/>
    <s v="Paula Vieira"/>
    <x v="2"/>
    <x v="75"/>
    <x v="0"/>
    <n v="10"/>
    <x v="0"/>
    <x v="1"/>
    <x v="1"/>
    <x v="0"/>
    <n v="20"/>
    <x v="2"/>
    <x v="2"/>
  </r>
  <r>
    <n v="3308"/>
    <s v="Quentin Ramos"/>
    <x v="1"/>
    <x v="76"/>
    <x v="1"/>
    <n v="5"/>
    <x v="2"/>
    <x v="1"/>
    <x v="1"/>
    <x v="1"/>
    <n v="0"/>
    <x v="1"/>
    <x v="1"/>
  </r>
  <r>
    <n v="3309"/>
    <s v="Raquel Novaes"/>
    <x v="0"/>
    <x v="77"/>
    <x v="0"/>
    <n v="15"/>
    <x v="0"/>
    <x v="0"/>
    <x v="0"/>
    <x v="0"/>
    <n v="20"/>
    <x v="3"/>
    <x v="3"/>
  </r>
  <r>
    <n v="3310"/>
    <s v="Samantha Lopes"/>
    <x v="2"/>
    <x v="78"/>
    <x v="1"/>
    <n v="10"/>
    <x v="1"/>
    <x v="1"/>
    <x v="1"/>
    <x v="0"/>
    <n v="20"/>
    <x v="6"/>
    <x v="7"/>
  </r>
  <r>
    <n v="3311"/>
    <s v="Tiago Martins"/>
    <x v="1"/>
    <x v="79"/>
    <x v="0"/>
    <n v="5"/>
    <x v="0"/>
    <x v="1"/>
    <x v="1"/>
    <x v="1"/>
    <n v="0"/>
    <x v="4"/>
    <x v="4"/>
  </r>
  <r>
    <n v="3312"/>
    <s v="Ulysses Guimarães"/>
    <x v="0"/>
    <x v="80"/>
    <x v="1"/>
    <n v="15"/>
    <x v="2"/>
    <x v="0"/>
    <x v="0"/>
    <x v="0"/>
    <n v="20"/>
    <x v="10"/>
    <x v="12"/>
  </r>
  <r>
    <n v="3313"/>
    <s v="Vanessa Silva"/>
    <x v="2"/>
    <x v="81"/>
    <x v="0"/>
    <n v="10"/>
    <x v="0"/>
    <x v="1"/>
    <x v="1"/>
    <x v="0"/>
    <n v="20"/>
    <x v="2"/>
    <x v="2"/>
  </r>
  <r>
    <n v="3314"/>
    <s v="William Carneiro"/>
    <x v="1"/>
    <x v="82"/>
    <x v="1"/>
    <n v="5"/>
    <x v="1"/>
    <x v="1"/>
    <x v="1"/>
    <x v="1"/>
    <n v="0"/>
    <x v="1"/>
    <x v="1"/>
  </r>
  <r>
    <n v="3315"/>
    <s v="Ximena Rocha"/>
    <x v="0"/>
    <x v="83"/>
    <x v="0"/>
    <n v="15"/>
    <x v="0"/>
    <x v="0"/>
    <x v="0"/>
    <x v="0"/>
    <n v="20"/>
    <x v="7"/>
    <x v="8"/>
  </r>
  <r>
    <n v="3316"/>
    <s v="Yasmin Figueiredo"/>
    <x v="2"/>
    <x v="84"/>
    <x v="1"/>
    <n v="10"/>
    <x v="2"/>
    <x v="1"/>
    <x v="1"/>
    <x v="0"/>
    <n v="20"/>
    <x v="6"/>
    <x v="7"/>
  </r>
  <r>
    <n v="3317"/>
    <s v="Zara Cunha"/>
    <x v="1"/>
    <x v="85"/>
    <x v="0"/>
    <n v="5"/>
    <x v="0"/>
    <x v="1"/>
    <x v="1"/>
    <x v="1"/>
    <n v="0"/>
    <x v="4"/>
    <x v="4"/>
  </r>
  <r>
    <n v="3318"/>
    <s v="Alan Teixeira"/>
    <x v="0"/>
    <x v="86"/>
    <x v="1"/>
    <n v="15"/>
    <x v="1"/>
    <x v="0"/>
    <x v="0"/>
    <x v="0"/>
    <n v="20"/>
    <x v="3"/>
    <x v="3"/>
  </r>
  <r>
    <n v="3319"/>
    <s v="Bárbara Oliveira"/>
    <x v="2"/>
    <x v="87"/>
    <x v="0"/>
    <n v="10"/>
    <x v="0"/>
    <x v="1"/>
    <x v="1"/>
    <x v="0"/>
    <n v="20"/>
    <x v="2"/>
    <x v="2"/>
  </r>
  <r>
    <n v="3320"/>
    <s v="Carlos Junqueira"/>
    <x v="1"/>
    <x v="88"/>
    <x v="1"/>
    <n v="5"/>
    <x v="2"/>
    <x v="1"/>
    <x v="1"/>
    <x v="1"/>
    <n v="0"/>
    <x v="1"/>
    <x v="1"/>
  </r>
  <r>
    <n v="3321"/>
    <s v="Daniela Moura"/>
    <x v="0"/>
    <x v="89"/>
    <x v="0"/>
    <n v="15"/>
    <x v="0"/>
    <x v="0"/>
    <x v="0"/>
    <x v="0"/>
    <n v="20"/>
    <x v="0"/>
    <x v="0"/>
  </r>
  <r>
    <n v="3322"/>
    <s v="Eduardo Lima"/>
    <x v="2"/>
    <x v="90"/>
    <x v="1"/>
    <n v="10"/>
    <x v="1"/>
    <x v="1"/>
    <x v="1"/>
    <x v="0"/>
    <n v="20"/>
    <x v="6"/>
    <x v="7"/>
  </r>
  <r>
    <n v="3323"/>
    <s v="Fabiana Araújo"/>
    <x v="1"/>
    <x v="91"/>
    <x v="0"/>
    <n v="5"/>
    <x v="0"/>
    <x v="1"/>
    <x v="1"/>
    <x v="1"/>
    <n v="0"/>
    <x v="4"/>
    <x v="4"/>
  </r>
  <r>
    <n v="3324"/>
    <s v="Geraldo Ribeiro"/>
    <x v="0"/>
    <x v="92"/>
    <x v="1"/>
    <n v="15"/>
    <x v="2"/>
    <x v="0"/>
    <x v="0"/>
    <x v="0"/>
    <n v="20"/>
    <x v="7"/>
    <x v="8"/>
  </r>
  <r>
    <n v="3325"/>
    <s v="Héctor Vargas"/>
    <x v="2"/>
    <x v="93"/>
    <x v="0"/>
    <n v="10"/>
    <x v="2"/>
    <x v="1"/>
    <x v="1"/>
    <x v="0"/>
    <n v="20"/>
    <x v="6"/>
    <x v="7"/>
  </r>
  <r>
    <n v="3326"/>
    <s v="Isabela Fonseca"/>
    <x v="1"/>
    <x v="94"/>
    <x v="1"/>
    <n v="5"/>
    <x v="1"/>
    <x v="1"/>
    <x v="1"/>
    <x v="1"/>
    <n v="0"/>
    <x v="1"/>
    <x v="1"/>
  </r>
  <r>
    <n v="3327"/>
    <s v="João Pedro Almeida"/>
    <x v="0"/>
    <x v="95"/>
    <x v="0"/>
    <n v="15"/>
    <x v="0"/>
    <x v="0"/>
    <x v="0"/>
    <x v="0"/>
    <n v="20"/>
    <x v="10"/>
    <x v="12"/>
  </r>
  <r>
    <n v="3328"/>
    <s v="Klara Costa"/>
    <x v="2"/>
    <x v="96"/>
    <x v="1"/>
    <n v="10"/>
    <x v="1"/>
    <x v="1"/>
    <x v="1"/>
    <x v="0"/>
    <n v="20"/>
    <x v="2"/>
    <x v="2"/>
  </r>
  <r>
    <n v="3329"/>
    <s v="Luciana Mendes"/>
    <x v="1"/>
    <x v="97"/>
    <x v="0"/>
    <n v="5"/>
    <x v="2"/>
    <x v="1"/>
    <x v="1"/>
    <x v="1"/>
    <n v="0"/>
    <x v="4"/>
    <x v="4"/>
  </r>
  <r>
    <n v="3330"/>
    <s v="Marcelo Gouveia"/>
    <x v="0"/>
    <x v="98"/>
    <x v="1"/>
    <n v="15"/>
    <x v="0"/>
    <x v="0"/>
    <x v="0"/>
    <x v="0"/>
    <n v="20"/>
    <x v="6"/>
    <x v="14"/>
  </r>
  <r>
    <n v="3331"/>
    <s v="Nívea Borges"/>
    <x v="2"/>
    <x v="99"/>
    <x v="0"/>
    <n v="10"/>
    <x v="0"/>
    <x v="1"/>
    <x v="1"/>
    <x v="0"/>
    <n v="20"/>
    <x v="0"/>
    <x v="13"/>
  </r>
  <r>
    <n v="3332"/>
    <s v="Oscar Nogueira"/>
    <x v="1"/>
    <x v="100"/>
    <x v="1"/>
    <n v="5"/>
    <x v="1"/>
    <x v="1"/>
    <x v="1"/>
    <x v="1"/>
    <n v="0"/>
    <x v="1"/>
    <x v="1"/>
  </r>
  <r>
    <n v="3333"/>
    <s v="Patrícia Alves"/>
    <x v="0"/>
    <x v="101"/>
    <x v="0"/>
    <n v="15"/>
    <x v="2"/>
    <x v="0"/>
    <x v="0"/>
    <x v="0"/>
    <n v="20"/>
    <x v="7"/>
    <x v="8"/>
  </r>
  <r>
    <n v="3334"/>
    <s v="Rafaela Silva"/>
    <x v="2"/>
    <x v="102"/>
    <x v="1"/>
    <n v="10"/>
    <x v="2"/>
    <x v="1"/>
    <x v="1"/>
    <x v="0"/>
    <n v="20"/>
    <x v="9"/>
    <x v="10"/>
  </r>
  <r>
    <n v="3335"/>
    <s v="Samantha Moraes"/>
    <x v="1"/>
    <x v="103"/>
    <x v="0"/>
    <n v="5"/>
    <x v="0"/>
    <x v="1"/>
    <x v="1"/>
    <x v="1"/>
    <n v="0"/>
    <x v="5"/>
    <x v="11"/>
  </r>
  <r>
    <n v="3336"/>
    <s v="Tatiana Rocha"/>
    <x v="1"/>
    <x v="104"/>
    <x v="0"/>
    <n v="5"/>
    <x v="0"/>
    <x v="1"/>
    <x v="1"/>
    <x v="1"/>
    <n v="0"/>
    <x v="1"/>
    <x v="1"/>
  </r>
  <r>
    <n v="3337"/>
    <s v="Ulisses Tavares"/>
    <x v="0"/>
    <x v="105"/>
    <x v="1"/>
    <n v="15"/>
    <x v="2"/>
    <x v="0"/>
    <x v="0"/>
    <x v="0"/>
    <n v="20"/>
    <x v="10"/>
    <x v="12"/>
  </r>
  <r>
    <n v="3338"/>
    <s v="Víctor Lemos"/>
    <x v="2"/>
    <x v="106"/>
    <x v="0"/>
    <n v="10"/>
    <x v="1"/>
    <x v="1"/>
    <x v="1"/>
    <x v="0"/>
    <n v="20"/>
    <x v="2"/>
    <x v="2"/>
  </r>
  <r>
    <n v="3339"/>
    <s v="Wilma Barros"/>
    <x v="1"/>
    <x v="107"/>
    <x v="1"/>
    <n v="5"/>
    <x v="2"/>
    <x v="1"/>
    <x v="1"/>
    <x v="1"/>
    <n v="0"/>
    <x v="4"/>
    <x v="4"/>
  </r>
  <r>
    <n v="3340"/>
    <s v="Xavier Nascimento"/>
    <x v="0"/>
    <x v="108"/>
    <x v="0"/>
    <n v="15"/>
    <x v="0"/>
    <x v="0"/>
    <x v="0"/>
    <x v="0"/>
    <n v="20"/>
    <x v="6"/>
    <x v="14"/>
  </r>
  <r>
    <n v="3341"/>
    <s v="Yago Pereira"/>
    <x v="2"/>
    <x v="109"/>
    <x v="1"/>
    <n v="10"/>
    <x v="0"/>
    <x v="1"/>
    <x v="1"/>
    <x v="0"/>
    <n v="20"/>
    <x v="0"/>
    <x v="13"/>
  </r>
  <r>
    <n v="3342"/>
    <s v="Zilda Ferreira"/>
    <x v="1"/>
    <x v="110"/>
    <x v="0"/>
    <n v="5"/>
    <x v="1"/>
    <x v="1"/>
    <x v="1"/>
    <x v="1"/>
    <n v="0"/>
    <x v="1"/>
    <x v="1"/>
  </r>
  <r>
    <n v="3343"/>
    <s v="Amanda Lopes"/>
    <x v="0"/>
    <x v="111"/>
    <x v="1"/>
    <n v="15"/>
    <x v="2"/>
    <x v="0"/>
    <x v="0"/>
    <x v="0"/>
    <n v="20"/>
    <x v="7"/>
    <x v="8"/>
  </r>
  <r>
    <n v="3344"/>
    <s v="Bruno Miranda"/>
    <x v="2"/>
    <x v="112"/>
    <x v="0"/>
    <n v="10"/>
    <x v="2"/>
    <x v="1"/>
    <x v="1"/>
    <x v="0"/>
    <n v="20"/>
    <x v="9"/>
    <x v="10"/>
  </r>
  <r>
    <n v="3345"/>
    <s v="Célia Torres"/>
    <x v="1"/>
    <x v="113"/>
    <x v="1"/>
    <n v="5"/>
    <x v="0"/>
    <x v="1"/>
    <x v="1"/>
    <x v="1"/>
    <n v="0"/>
    <x v="5"/>
    <x v="11"/>
  </r>
  <r>
    <n v="3346"/>
    <s v="Diogo Souza"/>
    <x v="0"/>
    <x v="114"/>
    <x v="0"/>
    <n v="15"/>
    <x v="1"/>
    <x v="0"/>
    <x v="0"/>
    <x v="0"/>
    <n v="20"/>
    <x v="0"/>
    <x v="0"/>
  </r>
  <r>
    <n v="3347"/>
    <s v="Elisa Castro"/>
    <x v="2"/>
    <x v="115"/>
    <x v="1"/>
    <n v="10"/>
    <x v="0"/>
    <x v="1"/>
    <x v="1"/>
    <x v="0"/>
    <n v="20"/>
    <x v="2"/>
    <x v="2"/>
  </r>
  <r>
    <n v="3348"/>
    <s v="Fátima Lima"/>
    <x v="1"/>
    <x v="116"/>
    <x v="0"/>
    <n v="5"/>
    <x v="2"/>
    <x v="1"/>
    <x v="1"/>
    <x v="1"/>
    <n v="0"/>
    <x v="1"/>
    <x v="1"/>
  </r>
  <r>
    <n v="3349"/>
    <s v="Geraldo Ribeiro"/>
    <x v="0"/>
    <x v="117"/>
    <x v="1"/>
    <n v="15"/>
    <x v="0"/>
    <x v="0"/>
    <x v="0"/>
    <x v="0"/>
    <n v="20"/>
    <x v="3"/>
    <x v="3"/>
  </r>
  <r>
    <n v="3350"/>
    <s v="Hélio Martins"/>
    <x v="2"/>
    <x v="118"/>
    <x v="0"/>
    <n v="10"/>
    <x v="1"/>
    <x v="1"/>
    <x v="1"/>
    <x v="0"/>
    <n v="20"/>
    <x v="6"/>
    <x v="7"/>
  </r>
  <r>
    <n v="3351"/>
    <s v="Íris Santos"/>
    <x v="1"/>
    <x v="119"/>
    <x v="1"/>
    <n v="5"/>
    <x v="0"/>
    <x v="1"/>
    <x v="1"/>
    <x v="1"/>
    <n v="0"/>
    <x v="4"/>
    <x v="4"/>
  </r>
  <r>
    <n v="3352"/>
    <s v="João Marcelo"/>
    <x v="0"/>
    <x v="120"/>
    <x v="0"/>
    <n v="15"/>
    <x v="2"/>
    <x v="0"/>
    <x v="0"/>
    <x v="0"/>
    <n v="20"/>
    <x v="10"/>
    <x v="12"/>
  </r>
  <r>
    <n v="3353"/>
    <s v="Larissa Gomes"/>
    <x v="2"/>
    <x v="121"/>
    <x v="1"/>
    <n v="10"/>
    <x v="0"/>
    <x v="1"/>
    <x v="1"/>
    <x v="0"/>
    <n v="20"/>
    <x v="2"/>
    <x v="2"/>
  </r>
  <r>
    <n v="3354"/>
    <s v="Márcio Silva"/>
    <x v="1"/>
    <x v="122"/>
    <x v="0"/>
    <n v="5"/>
    <x v="1"/>
    <x v="1"/>
    <x v="1"/>
    <x v="1"/>
    <n v="0"/>
    <x v="1"/>
    <x v="1"/>
  </r>
  <r>
    <n v="3355"/>
    <s v="Nadia Costa"/>
    <x v="0"/>
    <x v="123"/>
    <x v="1"/>
    <n v="15"/>
    <x v="0"/>
    <x v="0"/>
    <x v="0"/>
    <x v="0"/>
    <n v="20"/>
    <x v="7"/>
    <x v="8"/>
  </r>
  <r>
    <n v="3356"/>
    <s v="Oscar Almeida"/>
    <x v="2"/>
    <x v="124"/>
    <x v="0"/>
    <n v="10"/>
    <x v="2"/>
    <x v="1"/>
    <x v="1"/>
    <x v="0"/>
    <n v="20"/>
    <x v="6"/>
    <x v="7"/>
  </r>
  <r>
    <n v="3357"/>
    <s v="Patricia Soares"/>
    <x v="1"/>
    <x v="125"/>
    <x v="1"/>
    <n v="5"/>
    <x v="0"/>
    <x v="1"/>
    <x v="1"/>
    <x v="1"/>
    <n v="0"/>
    <x v="4"/>
    <x v="4"/>
  </r>
  <r>
    <n v="3358"/>
    <s v="Quênia Barros"/>
    <x v="0"/>
    <x v="126"/>
    <x v="0"/>
    <n v="15"/>
    <x v="1"/>
    <x v="0"/>
    <x v="0"/>
    <x v="0"/>
    <n v="20"/>
    <x v="3"/>
    <x v="3"/>
  </r>
  <r>
    <n v="3359"/>
    <s v="Rafael Torres"/>
    <x v="2"/>
    <x v="127"/>
    <x v="1"/>
    <n v="10"/>
    <x v="0"/>
    <x v="1"/>
    <x v="1"/>
    <x v="0"/>
    <n v="20"/>
    <x v="2"/>
    <x v="2"/>
  </r>
  <r>
    <n v="3360"/>
    <s v="Silvia Nascimento"/>
    <x v="1"/>
    <x v="128"/>
    <x v="0"/>
    <n v="5"/>
    <x v="2"/>
    <x v="1"/>
    <x v="1"/>
    <x v="1"/>
    <n v="0"/>
    <x v="1"/>
    <x v="1"/>
  </r>
  <r>
    <n v="3361"/>
    <s v="Tiago Mendes"/>
    <x v="0"/>
    <x v="129"/>
    <x v="1"/>
    <n v="15"/>
    <x v="0"/>
    <x v="0"/>
    <x v="0"/>
    <x v="0"/>
    <n v="20"/>
    <x v="6"/>
    <x v="14"/>
  </r>
  <r>
    <n v="3362"/>
    <s v="Ursula Silva"/>
    <x v="2"/>
    <x v="130"/>
    <x v="0"/>
    <n v="10"/>
    <x v="1"/>
    <x v="1"/>
    <x v="1"/>
    <x v="0"/>
    <n v="20"/>
    <x v="6"/>
    <x v="7"/>
  </r>
  <r>
    <n v="3363"/>
    <s v="Vanessa Moraes"/>
    <x v="1"/>
    <x v="131"/>
    <x v="1"/>
    <n v="5"/>
    <x v="0"/>
    <x v="1"/>
    <x v="1"/>
    <x v="1"/>
    <n v="0"/>
    <x v="4"/>
    <x v="4"/>
  </r>
  <r>
    <n v="3364"/>
    <s v="Waldir Junior"/>
    <x v="0"/>
    <x v="132"/>
    <x v="0"/>
    <n v="15"/>
    <x v="2"/>
    <x v="0"/>
    <x v="0"/>
    <x v="0"/>
    <n v="20"/>
    <x v="10"/>
    <x v="12"/>
  </r>
  <r>
    <n v="3365"/>
    <s v="Xavier Lopes"/>
    <x v="2"/>
    <x v="133"/>
    <x v="1"/>
    <n v="10"/>
    <x v="0"/>
    <x v="1"/>
    <x v="1"/>
    <x v="0"/>
    <n v="20"/>
    <x v="2"/>
    <x v="2"/>
  </r>
  <r>
    <n v="3366"/>
    <s v="Yolanda Freitas"/>
    <x v="1"/>
    <x v="134"/>
    <x v="0"/>
    <n v="5"/>
    <x v="0"/>
    <x v="1"/>
    <x v="1"/>
    <x v="1"/>
    <n v="0"/>
    <x v="1"/>
    <x v="1"/>
  </r>
  <r>
    <n v="3367"/>
    <s v="Zacarias Nunes"/>
    <x v="0"/>
    <x v="135"/>
    <x v="1"/>
    <n v="15"/>
    <x v="2"/>
    <x v="0"/>
    <x v="0"/>
    <x v="0"/>
    <n v="20"/>
    <x v="10"/>
    <x v="12"/>
  </r>
  <r>
    <n v="3368"/>
    <s v="Ana Clara Barreto"/>
    <x v="2"/>
    <x v="136"/>
    <x v="0"/>
    <n v="10"/>
    <x v="1"/>
    <x v="1"/>
    <x v="1"/>
    <x v="0"/>
    <n v="20"/>
    <x v="2"/>
    <x v="2"/>
  </r>
  <r>
    <n v="3369"/>
    <s v="Bruno Henrique"/>
    <x v="1"/>
    <x v="137"/>
    <x v="1"/>
    <n v="5"/>
    <x v="2"/>
    <x v="1"/>
    <x v="1"/>
    <x v="1"/>
    <n v="0"/>
    <x v="4"/>
    <x v="4"/>
  </r>
  <r>
    <n v="3370"/>
    <s v="Carlos Eduardo"/>
    <x v="0"/>
    <x v="138"/>
    <x v="0"/>
    <n v="15"/>
    <x v="0"/>
    <x v="0"/>
    <x v="0"/>
    <x v="0"/>
    <n v="20"/>
    <x v="6"/>
    <x v="14"/>
  </r>
  <r>
    <n v="3371"/>
    <s v="Débora Lima"/>
    <x v="2"/>
    <x v="139"/>
    <x v="1"/>
    <n v="10"/>
    <x v="0"/>
    <x v="1"/>
    <x v="1"/>
    <x v="0"/>
    <n v="20"/>
    <x v="0"/>
    <x v="13"/>
  </r>
  <r>
    <n v="3372"/>
    <s v="Elisa Neves"/>
    <x v="1"/>
    <x v="140"/>
    <x v="0"/>
    <n v="5"/>
    <x v="1"/>
    <x v="1"/>
    <x v="1"/>
    <x v="1"/>
    <n v="0"/>
    <x v="1"/>
    <x v="1"/>
  </r>
  <r>
    <n v="3373"/>
    <s v="Fabiano Gomes"/>
    <x v="0"/>
    <x v="141"/>
    <x v="1"/>
    <n v="15"/>
    <x v="2"/>
    <x v="0"/>
    <x v="0"/>
    <x v="0"/>
    <n v="20"/>
    <x v="7"/>
    <x v="8"/>
  </r>
  <r>
    <n v="3374"/>
    <s v="Gisele Oliveira"/>
    <x v="2"/>
    <x v="142"/>
    <x v="0"/>
    <n v="10"/>
    <x v="2"/>
    <x v="1"/>
    <x v="1"/>
    <x v="0"/>
    <n v="20"/>
    <x v="9"/>
    <x v="10"/>
  </r>
  <r>
    <n v="3375"/>
    <s v="Héctor Silva"/>
    <x v="1"/>
    <x v="143"/>
    <x v="1"/>
    <n v="5"/>
    <x v="0"/>
    <x v="1"/>
    <x v="1"/>
    <x v="1"/>
    <n v="0"/>
    <x v="5"/>
    <x v="11"/>
  </r>
  <r>
    <n v="3376"/>
    <s v="Igor Martins"/>
    <x v="0"/>
    <x v="144"/>
    <x v="0"/>
    <n v="15"/>
    <x v="1"/>
    <x v="0"/>
    <x v="0"/>
    <x v="0"/>
    <n v="20"/>
    <x v="0"/>
    <x v="0"/>
  </r>
  <r>
    <n v="3377"/>
    <s v="Joana Figueiredo"/>
    <x v="2"/>
    <x v="145"/>
    <x v="1"/>
    <n v="10"/>
    <x v="0"/>
    <x v="1"/>
    <x v="1"/>
    <x v="0"/>
    <n v="20"/>
    <x v="2"/>
    <x v="2"/>
  </r>
  <r>
    <n v="3378"/>
    <s v="Kleber Machado"/>
    <x v="1"/>
    <x v="146"/>
    <x v="0"/>
    <n v="5"/>
    <x v="2"/>
    <x v="1"/>
    <x v="1"/>
    <x v="1"/>
    <n v="0"/>
    <x v="1"/>
    <x v="1"/>
  </r>
  <r>
    <n v="3379"/>
    <s v="Luciana Santos"/>
    <x v="0"/>
    <x v="147"/>
    <x v="1"/>
    <n v="15"/>
    <x v="0"/>
    <x v="0"/>
    <x v="0"/>
    <x v="0"/>
    <n v="20"/>
    <x v="3"/>
    <x v="3"/>
  </r>
  <r>
    <n v="3380"/>
    <s v="Marcos Teixeira"/>
    <x v="2"/>
    <x v="148"/>
    <x v="0"/>
    <n v="10"/>
    <x v="1"/>
    <x v="1"/>
    <x v="1"/>
    <x v="0"/>
    <n v="20"/>
    <x v="6"/>
    <x v="7"/>
  </r>
  <r>
    <n v="3381"/>
    <s v="Natalia Costa"/>
    <x v="1"/>
    <x v="149"/>
    <x v="1"/>
    <n v="5"/>
    <x v="0"/>
    <x v="1"/>
    <x v="1"/>
    <x v="1"/>
    <n v="0"/>
    <x v="4"/>
    <x v="4"/>
  </r>
  <r>
    <n v="3382"/>
    <s v="Oscar Ribeiro"/>
    <x v="0"/>
    <x v="150"/>
    <x v="0"/>
    <n v="15"/>
    <x v="2"/>
    <x v="0"/>
    <x v="0"/>
    <x v="0"/>
    <n v="20"/>
    <x v="10"/>
    <x v="12"/>
  </r>
  <r>
    <n v="3383"/>
    <s v="Patricia Almeida"/>
    <x v="2"/>
    <x v="151"/>
    <x v="1"/>
    <n v="10"/>
    <x v="0"/>
    <x v="1"/>
    <x v="1"/>
    <x v="0"/>
    <n v="20"/>
    <x v="2"/>
    <x v="2"/>
  </r>
  <r>
    <n v="3384"/>
    <s v="Quirino Junior"/>
    <x v="1"/>
    <x v="152"/>
    <x v="0"/>
    <n v="5"/>
    <x v="1"/>
    <x v="1"/>
    <x v="1"/>
    <x v="1"/>
    <n v="0"/>
    <x v="1"/>
    <x v="1"/>
  </r>
  <r>
    <n v="3385"/>
    <s v="Renata Machado"/>
    <x v="0"/>
    <x v="153"/>
    <x v="1"/>
    <n v="15"/>
    <x v="0"/>
    <x v="0"/>
    <x v="0"/>
    <x v="0"/>
    <n v="20"/>
    <x v="7"/>
    <x v="8"/>
  </r>
  <r>
    <n v="3386"/>
    <s v="Sônia Alves"/>
    <x v="2"/>
    <x v="154"/>
    <x v="0"/>
    <n v="10"/>
    <x v="2"/>
    <x v="1"/>
    <x v="1"/>
    <x v="0"/>
    <n v="20"/>
    <x v="6"/>
    <x v="7"/>
  </r>
  <r>
    <n v="3387"/>
    <s v="Tiago Nunes"/>
    <x v="1"/>
    <x v="155"/>
    <x v="1"/>
    <n v="5"/>
    <x v="0"/>
    <x v="1"/>
    <x v="1"/>
    <x v="1"/>
    <n v="0"/>
    <x v="4"/>
    <x v="4"/>
  </r>
  <r>
    <n v="3388"/>
    <s v="Ulysses Pereira"/>
    <x v="0"/>
    <x v="156"/>
    <x v="0"/>
    <n v="15"/>
    <x v="1"/>
    <x v="0"/>
    <x v="0"/>
    <x v="0"/>
    <n v="20"/>
    <x v="3"/>
    <x v="3"/>
  </r>
  <r>
    <n v="3389"/>
    <s v="Vanessa Lima"/>
    <x v="2"/>
    <x v="157"/>
    <x v="1"/>
    <n v="10"/>
    <x v="0"/>
    <x v="1"/>
    <x v="1"/>
    <x v="0"/>
    <n v="20"/>
    <x v="2"/>
    <x v="2"/>
  </r>
  <r>
    <n v="3390"/>
    <s v="Wagner Santos"/>
    <x v="1"/>
    <x v="158"/>
    <x v="0"/>
    <n v="5"/>
    <x v="2"/>
    <x v="1"/>
    <x v="1"/>
    <x v="1"/>
    <n v="0"/>
    <x v="1"/>
    <x v="1"/>
  </r>
  <r>
    <n v="3391"/>
    <s v="Xuxa Meneghel"/>
    <x v="0"/>
    <x v="159"/>
    <x v="1"/>
    <n v="15"/>
    <x v="0"/>
    <x v="0"/>
    <x v="0"/>
    <x v="0"/>
    <n v="20"/>
    <x v="6"/>
    <x v="14"/>
  </r>
  <r>
    <n v="3392"/>
    <s v="Yasmin Silva"/>
    <x v="2"/>
    <x v="160"/>
    <x v="0"/>
    <n v="10"/>
    <x v="1"/>
    <x v="1"/>
    <x v="1"/>
    <x v="0"/>
    <n v="20"/>
    <x v="6"/>
    <x v="7"/>
  </r>
  <r>
    <n v="3393"/>
    <s v="Zacarias de Souza"/>
    <x v="1"/>
    <x v="161"/>
    <x v="1"/>
    <n v="5"/>
    <x v="0"/>
    <x v="1"/>
    <x v="1"/>
    <x v="1"/>
    <n v="0"/>
    <x v="4"/>
    <x v="4"/>
  </r>
  <r>
    <n v="3394"/>
    <s v="André Lima"/>
    <x v="0"/>
    <x v="162"/>
    <x v="0"/>
    <n v="15"/>
    <x v="2"/>
    <x v="0"/>
    <x v="0"/>
    <x v="0"/>
    <n v="20"/>
    <x v="10"/>
    <x v="12"/>
  </r>
  <r>
    <n v="3395"/>
    <s v="Bianca Freitas"/>
    <x v="2"/>
    <x v="163"/>
    <x v="1"/>
    <n v="10"/>
    <x v="0"/>
    <x v="1"/>
    <x v="1"/>
    <x v="0"/>
    <n v="20"/>
    <x v="2"/>
    <x v="2"/>
  </r>
  <r>
    <n v="3396"/>
    <s v="Caio Mendes"/>
    <x v="1"/>
    <x v="164"/>
    <x v="0"/>
    <n v="5"/>
    <x v="1"/>
    <x v="1"/>
    <x v="1"/>
    <x v="1"/>
    <n v="0"/>
    <x v="1"/>
    <x v="1"/>
  </r>
  <r>
    <n v="3397"/>
    <s v="Daniela Moura"/>
    <x v="0"/>
    <x v="165"/>
    <x v="1"/>
    <n v="15"/>
    <x v="0"/>
    <x v="0"/>
    <x v="0"/>
    <x v="0"/>
    <n v="20"/>
    <x v="7"/>
    <x v="8"/>
  </r>
  <r>
    <n v="3398"/>
    <s v="Eduardo Costa"/>
    <x v="2"/>
    <x v="166"/>
    <x v="0"/>
    <n v="10"/>
    <x v="2"/>
    <x v="1"/>
    <x v="1"/>
    <x v="0"/>
    <n v="20"/>
    <x v="6"/>
    <x v="7"/>
  </r>
  <r>
    <n v="3399"/>
    <s v="Fernanda Gomes"/>
    <x v="1"/>
    <x v="167"/>
    <x v="1"/>
    <n v="5"/>
    <x v="0"/>
    <x v="1"/>
    <x v="1"/>
    <x v="1"/>
    <n v="0"/>
    <x v="4"/>
    <x v="4"/>
  </r>
  <r>
    <n v="3400"/>
    <s v="Guilherme Souza"/>
    <x v="0"/>
    <x v="168"/>
    <x v="0"/>
    <n v="15"/>
    <x v="1"/>
    <x v="0"/>
    <x v="0"/>
    <x v="0"/>
    <n v="20"/>
    <x v="0"/>
    <x v="0"/>
  </r>
  <r>
    <n v="3401"/>
    <s v="Helena Ribeiro"/>
    <x v="2"/>
    <x v="169"/>
    <x v="1"/>
    <n v="10"/>
    <x v="0"/>
    <x v="1"/>
    <x v="1"/>
    <x v="0"/>
    <n v="20"/>
    <x v="2"/>
    <x v="2"/>
  </r>
  <r>
    <n v="3402"/>
    <s v="Igor Santos"/>
    <x v="1"/>
    <x v="170"/>
    <x v="0"/>
    <n v="5"/>
    <x v="2"/>
    <x v="1"/>
    <x v="1"/>
    <x v="1"/>
    <n v="0"/>
    <x v="1"/>
    <x v="1"/>
  </r>
  <r>
    <n v="3403"/>
    <s v="João Carvalho"/>
    <x v="0"/>
    <x v="171"/>
    <x v="1"/>
    <n v="15"/>
    <x v="0"/>
    <x v="0"/>
    <x v="0"/>
    <x v="0"/>
    <n v="20"/>
    <x v="3"/>
    <x v="3"/>
  </r>
  <r>
    <n v="3404"/>
    <s v="Klara Fagundes"/>
    <x v="2"/>
    <x v="172"/>
    <x v="0"/>
    <n v="10"/>
    <x v="1"/>
    <x v="1"/>
    <x v="1"/>
    <x v="0"/>
    <n v="20"/>
    <x v="6"/>
    <x v="7"/>
  </r>
  <r>
    <n v="3405"/>
    <s v="Lúcia Mendonça"/>
    <x v="1"/>
    <x v="173"/>
    <x v="1"/>
    <n v="5"/>
    <x v="0"/>
    <x v="1"/>
    <x v="1"/>
    <x v="1"/>
    <n v="0"/>
    <x v="4"/>
    <x v="4"/>
  </r>
  <r>
    <n v="3406"/>
    <s v="Marcelo Novaes"/>
    <x v="1"/>
    <x v="174"/>
    <x v="0"/>
    <n v="5"/>
    <x v="0"/>
    <x v="1"/>
    <x v="1"/>
    <x v="1"/>
    <n v="0"/>
    <x v="1"/>
    <x v="1"/>
  </r>
  <r>
    <n v="3407"/>
    <s v="Nina Pacheco"/>
    <x v="0"/>
    <x v="175"/>
    <x v="1"/>
    <n v="15"/>
    <x v="2"/>
    <x v="0"/>
    <x v="0"/>
    <x v="0"/>
    <n v="20"/>
    <x v="10"/>
    <x v="12"/>
  </r>
  <r>
    <n v="3408"/>
    <s v="Olívia Rios"/>
    <x v="2"/>
    <x v="176"/>
    <x v="0"/>
    <n v="10"/>
    <x v="1"/>
    <x v="1"/>
    <x v="1"/>
    <x v="0"/>
    <n v="20"/>
    <x v="2"/>
    <x v="2"/>
  </r>
  <r>
    <n v="3409"/>
    <s v="Paulo Quintana"/>
    <x v="1"/>
    <x v="177"/>
    <x v="1"/>
    <n v="5"/>
    <x v="2"/>
    <x v="1"/>
    <x v="1"/>
    <x v="1"/>
    <n v="0"/>
    <x v="4"/>
    <x v="4"/>
  </r>
  <r>
    <n v="3410"/>
    <s v="Raquel Domingos"/>
    <x v="0"/>
    <x v="178"/>
    <x v="0"/>
    <n v="15"/>
    <x v="0"/>
    <x v="0"/>
    <x v="0"/>
    <x v="0"/>
    <n v="20"/>
    <x v="6"/>
    <x v="14"/>
  </r>
  <r>
    <n v="3411"/>
    <s v="Samuel Viana"/>
    <x v="2"/>
    <x v="179"/>
    <x v="1"/>
    <n v="10"/>
    <x v="0"/>
    <x v="1"/>
    <x v="1"/>
    <x v="0"/>
    <n v="20"/>
    <x v="0"/>
    <x v="13"/>
  </r>
  <r>
    <n v="3412"/>
    <s v="Tatiane Rocha"/>
    <x v="1"/>
    <x v="180"/>
    <x v="0"/>
    <n v="5"/>
    <x v="1"/>
    <x v="1"/>
    <x v="1"/>
    <x v="1"/>
    <n v="0"/>
    <x v="1"/>
    <x v="1"/>
  </r>
  <r>
    <n v="3413"/>
    <s v="Ulysses Farias"/>
    <x v="0"/>
    <x v="181"/>
    <x v="1"/>
    <n v="15"/>
    <x v="2"/>
    <x v="0"/>
    <x v="0"/>
    <x v="0"/>
    <n v="20"/>
    <x v="7"/>
    <x v="8"/>
  </r>
  <r>
    <n v="3414"/>
    <s v="Vanessa Moreira"/>
    <x v="2"/>
    <x v="182"/>
    <x v="0"/>
    <n v="10"/>
    <x v="2"/>
    <x v="1"/>
    <x v="1"/>
    <x v="0"/>
    <n v="20"/>
    <x v="9"/>
    <x v="10"/>
  </r>
  <r>
    <n v="3415"/>
    <s v="William Carvalho"/>
    <x v="1"/>
    <x v="183"/>
    <x v="1"/>
    <n v="5"/>
    <x v="0"/>
    <x v="1"/>
    <x v="1"/>
    <x v="1"/>
    <n v="0"/>
    <x v="5"/>
    <x v="11"/>
  </r>
  <r>
    <n v="3416"/>
    <s v="Ximena Barros"/>
    <x v="0"/>
    <x v="184"/>
    <x v="0"/>
    <n v="15"/>
    <x v="1"/>
    <x v="0"/>
    <x v="0"/>
    <x v="0"/>
    <n v="20"/>
    <x v="0"/>
    <x v="0"/>
  </r>
  <r>
    <n v="3417"/>
    <s v="Yara Machado"/>
    <x v="2"/>
    <x v="185"/>
    <x v="1"/>
    <n v="10"/>
    <x v="0"/>
    <x v="1"/>
    <x v="1"/>
    <x v="0"/>
    <n v="20"/>
    <x v="2"/>
    <x v="2"/>
  </r>
  <r>
    <n v="3418"/>
    <s v="Zacarias Costa"/>
    <x v="1"/>
    <x v="186"/>
    <x v="0"/>
    <n v="5"/>
    <x v="2"/>
    <x v="1"/>
    <x v="1"/>
    <x v="1"/>
    <n v="0"/>
    <x v="1"/>
    <x v="1"/>
  </r>
  <r>
    <n v="3419"/>
    <s v="André Lopes"/>
    <x v="0"/>
    <x v="187"/>
    <x v="1"/>
    <n v="15"/>
    <x v="0"/>
    <x v="0"/>
    <x v="0"/>
    <x v="0"/>
    <n v="20"/>
    <x v="3"/>
    <x v="3"/>
  </r>
  <r>
    <n v="3420"/>
    <s v="Beatriz Souza"/>
    <x v="2"/>
    <x v="188"/>
    <x v="0"/>
    <n v="10"/>
    <x v="1"/>
    <x v="1"/>
    <x v="1"/>
    <x v="0"/>
    <n v="20"/>
    <x v="6"/>
    <x v="7"/>
  </r>
  <r>
    <n v="3421"/>
    <s v="Caio Pereira"/>
    <x v="1"/>
    <x v="189"/>
    <x v="1"/>
    <n v="5"/>
    <x v="0"/>
    <x v="1"/>
    <x v="1"/>
    <x v="1"/>
    <n v="0"/>
    <x v="4"/>
    <x v="4"/>
  </r>
  <r>
    <n v="3422"/>
    <s v="Daniela Araújo"/>
    <x v="0"/>
    <x v="190"/>
    <x v="0"/>
    <n v="15"/>
    <x v="2"/>
    <x v="0"/>
    <x v="0"/>
    <x v="0"/>
    <n v="20"/>
    <x v="10"/>
    <x v="12"/>
  </r>
  <r>
    <n v="3423"/>
    <s v="Eduardo Santos"/>
    <x v="2"/>
    <x v="191"/>
    <x v="1"/>
    <n v="10"/>
    <x v="0"/>
    <x v="1"/>
    <x v="1"/>
    <x v="0"/>
    <n v="20"/>
    <x v="2"/>
    <x v="2"/>
  </r>
  <r>
    <n v="3424"/>
    <s v="Fernanda Lima"/>
    <x v="1"/>
    <x v="192"/>
    <x v="0"/>
    <n v="5"/>
    <x v="1"/>
    <x v="1"/>
    <x v="1"/>
    <x v="1"/>
    <n v="0"/>
    <x v="1"/>
    <x v="1"/>
  </r>
  <r>
    <n v="3425"/>
    <s v="Gabriel Teixeira"/>
    <x v="0"/>
    <x v="193"/>
    <x v="1"/>
    <n v="15"/>
    <x v="0"/>
    <x v="0"/>
    <x v="0"/>
    <x v="0"/>
    <n v="20"/>
    <x v="7"/>
    <x v="8"/>
  </r>
  <r>
    <n v="3426"/>
    <s v="Helena Ribeiro"/>
    <x v="2"/>
    <x v="194"/>
    <x v="0"/>
    <n v="10"/>
    <x v="2"/>
    <x v="1"/>
    <x v="1"/>
    <x v="0"/>
    <n v="20"/>
    <x v="6"/>
    <x v="7"/>
  </r>
  <r>
    <n v="3427"/>
    <s v="Igor Mendes"/>
    <x v="1"/>
    <x v="195"/>
    <x v="1"/>
    <n v="5"/>
    <x v="0"/>
    <x v="1"/>
    <x v="1"/>
    <x v="1"/>
    <n v="0"/>
    <x v="4"/>
    <x v="4"/>
  </r>
  <r>
    <n v="3428"/>
    <s v="Joana Silveira"/>
    <x v="0"/>
    <x v="196"/>
    <x v="0"/>
    <n v="15"/>
    <x v="1"/>
    <x v="0"/>
    <x v="0"/>
    <x v="0"/>
    <n v="20"/>
    <x v="3"/>
    <x v="3"/>
  </r>
  <r>
    <n v="3429"/>
    <s v="Lucas Martins"/>
    <x v="2"/>
    <x v="197"/>
    <x v="1"/>
    <n v="10"/>
    <x v="0"/>
    <x v="1"/>
    <x v="1"/>
    <x v="0"/>
    <n v="20"/>
    <x v="2"/>
    <x v="2"/>
  </r>
  <r>
    <n v="3430"/>
    <s v="Marcela Gouveia"/>
    <x v="1"/>
    <x v="198"/>
    <x v="0"/>
    <n v="5"/>
    <x v="2"/>
    <x v="1"/>
    <x v="1"/>
    <x v="1"/>
    <n v="0"/>
    <x v="1"/>
    <x v="1"/>
  </r>
  <r>
    <n v="3431"/>
    <s v="Nicolas Borges"/>
    <x v="0"/>
    <x v="199"/>
    <x v="1"/>
    <n v="15"/>
    <x v="0"/>
    <x v="0"/>
    <x v="0"/>
    <x v="0"/>
    <n v="20"/>
    <x v="6"/>
    <x v="14"/>
  </r>
  <r>
    <n v="3432"/>
    <s v="Olivia Freitas"/>
    <x v="2"/>
    <x v="200"/>
    <x v="0"/>
    <n v="10"/>
    <x v="1"/>
    <x v="1"/>
    <x v="1"/>
    <x v="0"/>
    <n v="20"/>
    <x v="6"/>
    <x v="7"/>
  </r>
  <r>
    <n v="3433"/>
    <s v="Paulo Nogueira"/>
    <x v="1"/>
    <x v="201"/>
    <x v="1"/>
    <n v="5"/>
    <x v="0"/>
    <x v="1"/>
    <x v="1"/>
    <x v="1"/>
    <n v="0"/>
    <x v="4"/>
    <x v="4"/>
  </r>
  <r>
    <n v="3434"/>
    <s v="Raquel Andrade"/>
    <x v="0"/>
    <x v="202"/>
    <x v="0"/>
    <n v="15"/>
    <x v="2"/>
    <x v="0"/>
    <x v="0"/>
    <x v="0"/>
    <n v="20"/>
    <x v="10"/>
    <x v="12"/>
  </r>
  <r>
    <n v="3435"/>
    <s v="Sônia Carvalho"/>
    <x v="2"/>
    <x v="203"/>
    <x v="1"/>
    <n v="10"/>
    <x v="0"/>
    <x v="1"/>
    <x v="1"/>
    <x v="0"/>
    <n v="20"/>
    <x v="2"/>
    <x v="2"/>
  </r>
  <r>
    <n v="3436"/>
    <s v="Tiago Rodrigues"/>
    <x v="1"/>
    <x v="204"/>
    <x v="0"/>
    <n v="5"/>
    <x v="0"/>
    <x v="1"/>
    <x v="1"/>
    <x v="1"/>
    <n v="0"/>
    <x v="1"/>
    <x v="1"/>
  </r>
  <r>
    <n v="3437"/>
    <s v="Ursula Monteiro"/>
    <x v="0"/>
    <x v="205"/>
    <x v="1"/>
    <n v="15"/>
    <x v="2"/>
    <x v="0"/>
    <x v="0"/>
    <x v="0"/>
    <n v="20"/>
    <x v="10"/>
    <x v="12"/>
  </r>
  <r>
    <n v="3438"/>
    <s v="Vanessa Pereira"/>
    <x v="2"/>
    <x v="206"/>
    <x v="0"/>
    <n v="10"/>
    <x v="1"/>
    <x v="1"/>
    <x v="1"/>
    <x v="0"/>
    <n v="20"/>
    <x v="2"/>
    <x v="2"/>
  </r>
  <r>
    <n v="3439"/>
    <s v="Walter Silva"/>
    <x v="1"/>
    <x v="207"/>
    <x v="1"/>
    <n v="5"/>
    <x v="2"/>
    <x v="1"/>
    <x v="1"/>
    <x v="1"/>
    <n v="0"/>
    <x v="4"/>
    <x v="4"/>
  </r>
  <r>
    <n v="3440"/>
    <s v="Xavier Almeida"/>
    <x v="0"/>
    <x v="208"/>
    <x v="0"/>
    <n v="15"/>
    <x v="0"/>
    <x v="0"/>
    <x v="0"/>
    <x v="0"/>
    <n v="20"/>
    <x v="6"/>
    <x v="14"/>
  </r>
  <r>
    <n v="3441"/>
    <s v="Yasmine Correia"/>
    <x v="2"/>
    <x v="209"/>
    <x v="1"/>
    <n v="10"/>
    <x v="0"/>
    <x v="1"/>
    <x v="1"/>
    <x v="0"/>
    <n v="20"/>
    <x v="0"/>
    <x v="13"/>
  </r>
  <r>
    <n v="3442"/>
    <s v="Zacarias Almeida"/>
    <x v="1"/>
    <x v="210"/>
    <x v="0"/>
    <n v="5"/>
    <x v="1"/>
    <x v="1"/>
    <x v="1"/>
    <x v="1"/>
    <n v="0"/>
    <x v="1"/>
    <x v="1"/>
  </r>
  <r>
    <n v="3443"/>
    <s v="Amanda Costa"/>
    <x v="0"/>
    <x v="211"/>
    <x v="1"/>
    <n v="15"/>
    <x v="2"/>
    <x v="0"/>
    <x v="0"/>
    <x v="0"/>
    <n v="20"/>
    <x v="7"/>
    <x v="8"/>
  </r>
  <r>
    <n v="3444"/>
    <s v="Bruno Ferreira"/>
    <x v="2"/>
    <x v="212"/>
    <x v="0"/>
    <n v="10"/>
    <x v="2"/>
    <x v="1"/>
    <x v="1"/>
    <x v="0"/>
    <n v="20"/>
    <x v="9"/>
    <x v="10"/>
  </r>
  <r>
    <n v="3445"/>
    <s v="Carla Dias"/>
    <x v="1"/>
    <x v="213"/>
    <x v="1"/>
    <n v="5"/>
    <x v="0"/>
    <x v="1"/>
    <x v="1"/>
    <x v="1"/>
    <n v="0"/>
    <x v="5"/>
    <x v="11"/>
  </r>
  <r>
    <n v="3446"/>
    <s v="Diogo Martins"/>
    <x v="0"/>
    <x v="214"/>
    <x v="0"/>
    <n v="15"/>
    <x v="1"/>
    <x v="0"/>
    <x v="0"/>
    <x v="0"/>
    <n v="20"/>
    <x v="0"/>
    <x v="0"/>
  </r>
  <r>
    <n v="3447"/>
    <s v="Elisa Campos"/>
    <x v="2"/>
    <x v="215"/>
    <x v="1"/>
    <n v="10"/>
    <x v="0"/>
    <x v="1"/>
    <x v="1"/>
    <x v="0"/>
    <n v="20"/>
    <x v="2"/>
    <x v="2"/>
  </r>
  <r>
    <n v="3448"/>
    <s v="Fabiana Lima"/>
    <x v="1"/>
    <x v="216"/>
    <x v="0"/>
    <n v="5"/>
    <x v="2"/>
    <x v="1"/>
    <x v="1"/>
    <x v="1"/>
    <n v="0"/>
    <x v="1"/>
    <x v="1"/>
  </r>
  <r>
    <n v="3449"/>
    <s v="Gabriel Santos"/>
    <x v="0"/>
    <x v="217"/>
    <x v="1"/>
    <n v="15"/>
    <x v="0"/>
    <x v="0"/>
    <x v="0"/>
    <x v="0"/>
    <n v="20"/>
    <x v="3"/>
    <x v="3"/>
  </r>
  <r>
    <n v="3450"/>
    <s v="Helena Ferreira"/>
    <x v="2"/>
    <x v="218"/>
    <x v="0"/>
    <n v="10"/>
    <x v="1"/>
    <x v="1"/>
    <x v="1"/>
    <x v="0"/>
    <n v="20"/>
    <x v="6"/>
    <x v="7"/>
  </r>
  <r>
    <n v="3451"/>
    <s v="Ígor Nunes"/>
    <x v="1"/>
    <x v="219"/>
    <x v="1"/>
    <n v="5"/>
    <x v="0"/>
    <x v="1"/>
    <x v="1"/>
    <x v="1"/>
    <n v="0"/>
    <x v="4"/>
    <x v="4"/>
  </r>
  <r>
    <n v="3452"/>
    <s v="Joana Silveira"/>
    <x v="0"/>
    <x v="220"/>
    <x v="0"/>
    <n v="15"/>
    <x v="2"/>
    <x v="0"/>
    <x v="0"/>
    <x v="0"/>
    <n v="20"/>
    <x v="10"/>
    <x v="12"/>
  </r>
  <r>
    <n v="3453"/>
    <s v="Kléber Oliveira"/>
    <x v="2"/>
    <x v="221"/>
    <x v="1"/>
    <n v="10"/>
    <x v="0"/>
    <x v="1"/>
    <x v="1"/>
    <x v="0"/>
    <n v="20"/>
    <x v="2"/>
    <x v="2"/>
  </r>
  <r>
    <n v="3454"/>
    <s v="Luciana Morais"/>
    <x v="1"/>
    <x v="222"/>
    <x v="0"/>
    <n v="5"/>
    <x v="1"/>
    <x v="1"/>
    <x v="1"/>
    <x v="1"/>
    <n v="0"/>
    <x v="1"/>
    <x v="1"/>
  </r>
  <r>
    <n v="3455"/>
    <s v="Marcos Vinícius"/>
    <x v="0"/>
    <x v="223"/>
    <x v="1"/>
    <n v="15"/>
    <x v="0"/>
    <x v="0"/>
    <x v="0"/>
    <x v="0"/>
    <n v="20"/>
    <x v="7"/>
    <x v="8"/>
  </r>
  <r>
    <n v="3456"/>
    <s v="Natália Barros"/>
    <x v="2"/>
    <x v="224"/>
    <x v="0"/>
    <n v="10"/>
    <x v="2"/>
    <x v="1"/>
    <x v="1"/>
    <x v="0"/>
    <n v="20"/>
    <x v="6"/>
    <x v="7"/>
  </r>
  <r>
    <n v="3457"/>
    <s v="Oscar Sampaio"/>
    <x v="1"/>
    <x v="225"/>
    <x v="1"/>
    <n v="5"/>
    <x v="0"/>
    <x v="1"/>
    <x v="1"/>
    <x v="1"/>
    <n v="0"/>
    <x v="4"/>
    <x v="4"/>
  </r>
  <r>
    <n v="3458"/>
    <s v="Patrícia Leite"/>
    <x v="0"/>
    <x v="226"/>
    <x v="0"/>
    <n v="15"/>
    <x v="1"/>
    <x v="0"/>
    <x v="0"/>
    <x v="0"/>
    <n v="20"/>
    <x v="3"/>
    <x v="3"/>
  </r>
  <r>
    <n v="3459"/>
    <s v="Quênia Rocha"/>
    <x v="2"/>
    <x v="227"/>
    <x v="1"/>
    <n v="10"/>
    <x v="0"/>
    <x v="1"/>
    <x v="1"/>
    <x v="0"/>
    <n v="20"/>
    <x v="2"/>
    <x v="2"/>
  </r>
  <r>
    <n v="3460"/>
    <s v="Rafael Torres"/>
    <x v="1"/>
    <x v="228"/>
    <x v="0"/>
    <n v="5"/>
    <x v="2"/>
    <x v="1"/>
    <x v="1"/>
    <x v="1"/>
    <n v="0"/>
    <x v="1"/>
    <x v="1"/>
  </r>
  <r>
    <n v="3461"/>
    <s v="Sandra Gouveia"/>
    <x v="0"/>
    <x v="229"/>
    <x v="1"/>
    <n v="15"/>
    <x v="0"/>
    <x v="0"/>
    <x v="0"/>
    <x v="0"/>
    <n v="20"/>
    <x v="6"/>
    <x v="14"/>
  </r>
  <r>
    <n v="3462"/>
    <s v="Tiago Lacerda"/>
    <x v="2"/>
    <x v="230"/>
    <x v="0"/>
    <n v="10"/>
    <x v="1"/>
    <x v="1"/>
    <x v="1"/>
    <x v="0"/>
    <n v="20"/>
    <x v="6"/>
    <x v="7"/>
  </r>
  <r>
    <n v="3463"/>
    <s v="Ursula Fonseca"/>
    <x v="1"/>
    <x v="231"/>
    <x v="1"/>
    <n v="5"/>
    <x v="0"/>
    <x v="1"/>
    <x v="1"/>
    <x v="1"/>
    <n v="0"/>
    <x v="4"/>
    <x v="4"/>
  </r>
  <r>
    <n v="3464"/>
    <s v="Vanessa Andrade"/>
    <x v="0"/>
    <x v="232"/>
    <x v="0"/>
    <n v="15"/>
    <x v="2"/>
    <x v="0"/>
    <x v="0"/>
    <x v="0"/>
    <n v="20"/>
    <x v="10"/>
    <x v="12"/>
  </r>
  <r>
    <n v="3465"/>
    <s v="William Castro"/>
    <x v="2"/>
    <x v="233"/>
    <x v="1"/>
    <n v="10"/>
    <x v="0"/>
    <x v="1"/>
    <x v="1"/>
    <x v="0"/>
    <n v="20"/>
    <x v="2"/>
    <x v="2"/>
  </r>
  <r>
    <n v="3466"/>
    <s v="Xavier Monteiro"/>
    <x v="1"/>
    <x v="234"/>
    <x v="0"/>
    <n v="5"/>
    <x v="1"/>
    <x v="1"/>
    <x v="1"/>
    <x v="1"/>
    <n v="0"/>
    <x v="1"/>
    <x v="1"/>
  </r>
  <r>
    <n v="3467"/>
    <s v="Yasmin Figueira"/>
    <x v="0"/>
    <x v="235"/>
    <x v="1"/>
    <n v="15"/>
    <x v="0"/>
    <x v="0"/>
    <x v="0"/>
    <x v="0"/>
    <n v="20"/>
    <x v="6"/>
    <x v="14"/>
  </r>
  <r>
    <n v="3468"/>
    <s v="Zacarias Mendonça"/>
    <x v="2"/>
    <x v="236"/>
    <x v="0"/>
    <n v="10"/>
    <x v="2"/>
    <x v="1"/>
    <x v="1"/>
    <x v="0"/>
    <n v="20"/>
    <x v="9"/>
    <x v="10"/>
  </r>
  <r>
    <n v="3469"/>
    <s v="Amanda Menezes"/>
    <x v="1"/>
    <x v="237"/>
    <x v="1"/>
    <n v="5"/>
    <x v="0"/>
    <x v="1"/>
    <x v="1"/>
    <x v="1"/>
    <n v="0"/>
    <x v="5"/>
    <x v="11"/>
  </r>
  <r>
    <n v="3470"/>
    <s v="Bruno Santos"/>
    <x v="0"/>
    <x v="238"/>
    <x v="0"/>
    <n v="15"/>
    <x v="1"/>
    <x v="0"/>
    <x v="0"/>
    <x v="0"/>
    <n v="20"/>
    <x v="0"/>
    <x v="0"/>
  </r>
  <r>
    <n v="3471"/>
    <s v="Carla Ferreira"/>
    <x v="2"/>
    <x v="239"/>
    <x v="1"/>
    <n v="10"/>
    <x v="0"/>
    <x v="1"/>
    <x v="1"/>
    <x v="0"/>
    <n v="20"/>
    <x v="2"/>
    <x v="2"/>
  </r>
  <r>
    <n v="3472"/>
    <s v="Diogo Alves"/>
    <x v="1"/>
    <x v="240"/>
    <x v="0"/>
    <n v="5"/>
    <x v="2"/>
    <x v="1"/>
    <x v="1"/>
    <x v="1"/>
    <n v="0"/>
    <x v="1"/>
    <x v="1"/>
  </r>
  <r>
    <n v="3473"/>
    <s v="Elisa Neves"/>
    <x v="0"/>
    <x v="241"/>
    <x v="1"/>
    <n v="15"/>
    <x v="0"/>
    <x v="0"/>
    <x v="0"/>
    <x v="0"/>
    <n v="20"/>
    <x v="3"/>
    <x v="3"/>
  </r>
  <r>
    <n v="3474"/>
    <s v="Fabiano Pires"/>
    <x v="2"/>
    <x v="242"/>
    <x v="0"/>
    <n v="10"/>
    <x v="1"/>
    <x v="1"/>
    <x v="1"/>
    <x v="0"/>
    <n v="20"/>
    <x v="6"/>
    <x v="7"/>
  </r>
  <r>
    <n v="3475"/>
    <s v="Giovana Ribeiro"/>
    <x v="1"/>
    <x v="243"/>
    <x v="1"/>
    <n v="5"/>
    <x v="0"/>
    <x v="1"/>
    <x v="1"/>
    <x v="1"/>
    <n v="0"/>
    <x v="4"/>
    <x v="4"/>
  </r>
  <r>
    <n v="3476"/>
    <s v="Hélio Costa"/>
    <x v="0"/>
    <x v="244"/>
    <x v="0"/>
    <n v="15"/>
    <x v="2"/>
    <x v="0"/>
    <x v="0"/>
    <x v="0"/>
    <n v="20"/>
    <x v="10"/>
    <x v="12"/>
  </r>
  <r>
    <n v="3477"/>
    <s v="Íris Loureiro"/>
    <x v="2"/>
    <x v="245"/>
    <x v="1"/>
    <n v="10"/>
    <x v="0"/>
    <x v="1"/>
    <x v="1"/>
    <x v="0"/>
    <n v="20"/>
    <x v="2"/>
    <x v="2"/>
  </r>
  <r>
    <n v="3478"/>
    <s v="João Pereira"/>
    <x v="1"/>
    <x v="246"/>
    <x v="0"/>
    <n v="5"/>
    <x v="1"/>
    <x v="1"/>
    <x v="1"/>
    <x v="1"/>
    <n v="0"/>
    <x v="1"/>
    <x v="1"/>
  </r>
  <r>
    <n v="3479"/>
    <s v="Klara Silva"/>
    <x v="0"/>
    <x v="247"/>
    <x v="1"/>
    <n v="15"/>
    <x v="0"/>
    <x v="0"/>
    <x v="0"/>
    <x v="0"/>
    <n v="20"/>
    <x v="7"/>
    <x v="8"/>
  </r>
  <r>
    <n v="3480"/>
    <s v="Luciana Barros"/>
    <x v="2"/>
    <x v="248"/>
    <x v="0"/>
    <n v="10"/>
    <x v="2"/>
    <x v="1"/>
    <x v="1"/>
    <x v="0"/>
    <n v="20"/>
    <x v="6"/>
    <x v="7"/>
  </r>
  <r>
    <n v="3481"/>
    <s v="Marcos Gomes"/>
    <x v="1"/>
    <x v="249"/>
    <x v="1"/>
    <n v="5"/>
    <x v="0"/>
    <x v="1"/>
    <x v="1"/>
    <x v="1"/>
    <n v="0"/>
    <x v="4"/>
    <x v="4"/>
  </r>
  <r>
    <n v="3482"/>
    <s v="Natália Soares"/>
    <x v="0"/>
    <x v="250"/>
    <x v="0"/>
    <n v="15"/>
    <x v="1"/>
    <x v="0"/>
    <x v="0"/>
    <x v="0"/>
    <n v="20"/>
    <x v="3"/>
    <x v="3"/>
  </r>
  <r>
    <n v="3483"/>
    <s v="Oscar Machado"/>
    <x v="2"/>
    <x v="251"/>
    <x v="1"/>
    <n v="10"/>
    <x v="0"/>
    <x v="1"/>
    <x v="1"/>
    <x v="0"/>
    <n v="20"/>
    <x v="2"/>
    <x v="2"/>
  </r>
  <r>
    <n v="3484"/>
    <s v="Patrícia Lima"/>
    <x v="1"/>
    <x v="252"/>
    <x v="0"/>
    <n v="5"/>
    <x v="2"/>
    <x v="1"/>
    <x v="1"/>
    <x v="1"/>
    <n v="0"/>
    <x v="1"/>
    <x v="1"/>
  </r>
  <r>
    <n v="3485"/>
    <s v="Quirino Neto"/>
    <x v="0"/>
    <x v="253"/>
    <x v="1"/>
    <n v="15"/>
    <x v="0"/>
    <x v="0"/>
    <x v="0"/>
    <x v="0"/>
    <n v="20"/>
    <x v="6"/>
    <x v="14"/>
  </r>
  <r>
    <n v="3486"/>
    <s v="Rafaela Souza"/>
    <x v="1"/>
    <x v="254"/>
    <x v="0"/>
    <n v="5"/>
    <x v="0"/>
    <x v="1"/>
    <x v="1"/>
    <x v="1"/>
    <n v="0"/>
    <x v="1"/>
    <x v="1"/>
  </r>
  <r>
    <n v="3487"/>
    <s v="Sandro Almeida"/>
    <x v="0"/>
    <x v="255"/>
    <x v="1"/>
    <n v="15"/>
    <x v="2"/>
    <x v="0"/>
    <x v="0"/>
    <x v="0"/>
    <n v="20"/>
    <x v="10"/>
    <x v="12"/>
  </r>
  <r>
    <n v="3488"/>
    <s v="Tânia Ribeiro"/>
    <x v="2"/>
    <x v="256"/>
    <x v="0"/>
    <n v="10"/>
    <x v="1"/>
    <x v="1"/>
    <x v="1"/>
    <x v="0"/>
    <n v="20"/>
    <x v="2"/>
    <x v="2"/>
  </r>
  <r>
    <n v="3489"/>
    <s v="Ugo Dias"/>
    <x v="1"/>
    <x v="257"/>
    <x v="1"/>
    <n v="5"/>
    <x v="2"/>
    <x v="1"/>
    <x v="1"/>
    <x v="1"/>
    <n v="0"/>
    <x v="4"/>
    <x v="4"/>
  </r>
  <r>
    <n v="3490"/>
    <s v="Valéria Lima"/>
    <x v="0"/>
    <x v="258"/>
    <x v="0"/>
    <n v="15"/>
    <x v="0"/>
    <x v="0"/>
    <x v="0"/>
    <x v="0"/>
    <n v="20"/>
    <x v="6"/>
    <x v="14"/>
  </r>
  <r>
    <n v="3491"/>
    <s v="William Fernandes"/>
    <x v="2"/>
    <x v="259"/>
    <x v="1"/>
    <n v="10"/>
    <x v="0"/>
    <x v="1"/>
    <x v="1"/>
    <x v="0"/>
    <n v="20"/>
    <x v="0"/>
    <x v="13"/>
  </r>
  <r>
    <n v="3492"/>
    <s v="Xuxa Mendes"/>
    <x v="1"/>
    <x v="260"/>
    <x v="0"/>
    <n v="5"/>
    <x v="1"/>
    <x v="1"/>
    <x v="1"/>
    <x v="1"/>
    <n v="0"/>
    <x v="1"/>
    <x v="1"/>
  </r>
  <r>
    <n v="3493"/>
    <s v="Ygor Farias"/>
    <x v="0"/>
    <x v="261"/>
    <x v="1"/>
    <n v="15"/>
    <x v="2"/>
    <x v="0"/>
    <x v="0"/>
    <x v="0"/>
    <n v="20"/>
    <x v="7"/>
    <x v="8"/>
  </r>
  <r>
    <n v="3494"/>
    <s v="Zilda Barros"/>
    <x v="2"/>
    <x v="262"/>
    <x v="0"/>
    <n v="10"/>
    <x v="2"/>
    <x v="1"/>
    <x v="1"/>
    <x v="0"/>
    <n v="20"/>
    <x v="9"/>
    <x v="10"/>
  </r>
  <r>
    <n v="3495"/>
    <s v="Amanda Santos"/>
    <x v="1"/>
    <x v="263"/>
    <x v="1"/>
    <n v="5"/>
    <x v="0"/>
    <x v="1"/>
    <x v="1"/>
    <x v="1"/>
    <n v="0"/>
    <x v="5"/>
    <x v="11"/>
  </r>
  <r>
    <n v="3496"/>
    <s v="Bruno Costa"/>
    <x v="0"/>
    <x v="264"/>
    <x v="0"/>
    <n v="15"/>
    <x v="1"/>
    <x v="0"/>
    <x v="0"/>
    <x v="0"/>
    <n v="20"/>
    <x v="0"/>
    <x v="0"/>
  </r>
  <r>
    <n v="3497"/>
    <s v="Carla Rodrigues"/>
    <x v="2"/>
    <x v="265"/>
    <x v="1"/>
    <n v="10"/>
    <x v="0"/>
    <x v="1"/>
    <x v="1"/>
    <x v="0"/>
    <n v="20"/>
    <x v="2"/>
    <x v="2"/>
  </r>
  <r>
    <n v="3498"/>
    <s v="Diogo Pereira"/>
    <x v="1"/>
    <x v="266"/>
    <x v="0"/>
    <n v="5"/>
    <x v="2"/>
    <x v="1"/>
    <x v="1"/>
    <x v="1"/>
    <n v="0"/>
    <x v="1"/>
    <x v="1"/>
  </r>
  <r>
    <n v="3499"/>
    <s v="Elisa Correia"/>
    <x v="0"/>
    <x v="267"/>
    <x v="1"/>
    <n v="15"/>
    <x v="0"/>
    <x v="0"/>
    <x v="0"/>
    <x v="0"/>
    <n v="20"/>
    <x v="3"/>
    <x v="3"/>
  </r>
  <r>
    <n v="3500"/>
    <s v="Fábio Lourenço"/>
    <x v="2"/>
    <x v="268"/>
    <x v="0"/>
    <n v="10"/>
    <x v="1"/>
    <x v="1"/>
    <x v="1"/>
    <x v="0"/>
    <n v="20"/>
    <x v="6"/>
    <x v="7"/>
  </r>
  <r>
    <n v="3501"/>
    <s v="Gabriela Neves"/>
    <x v="1"/>
    <x v="269"/>
    <x v="1"/>
    <n v="5"/>
    <x v="0"/>
    <x v="1"/>
    <x v="1"/>
    <x v="1"/>
    <n v="0"/>
    <x v="4"/>
    <x v="4"/>
  </r>
  <r>
    <n v="3502"/>
    <s v="Henrique Gonçalves"/>
    <x v="0"/>
    <x v="270"/>
    <x v="0"/>
    <n v="15"/>
    <x v="2"/>
    <x v="0"/>
    <x v="0"/>
    <x v="0"/>
    <n v="20"/>
    <x v="10"/>
    <x v="12"/>
  </r>
  <r>
    <n v="3503"/>
    <s v="Íris Santos"/>
    <x v="2"/>
    <x v="271"/>
    <x v="1"/>
    <n v="10"/>
    <x v="0"/>
    <x v="1"/>
    <x v="1"/>
    <x v="0"/>
    <n v="20"/>
    <x v="2"/>
    <x v="2"/>
  </r>
  <r>
    <n v="3504"/>
    <s v="João Marcelo Alves"/>
    <x v="1"/>
    <x v="272"/>
    <x v="0"/>
    <n v="5"/>
    <x v="1"/>
    <x v="1"/>
    <x v="1"/>
    <x v="1"/>
    <n v="0"/>
    <x v="1"/>
    <x v="1"/>
  </r>
  <r>
    <n v="3505"/>
    <s v="Klara Fonseca"/>
    <x v="0"/>
    <x v="273"/>
    <x v="1"/>
    <n v="15"/>
    <x v="0"/>
    <x v="0"/>
    <x v="0"/>
    <x v="0"/>
    <n v="20"/>
    <x v="7"/>
    <x v="8"/>
  </r>
  <r>
    <n v="3506"/>
    <s v="Lucas Mendonça"/>
    <x v="2"/>
    <x v="274"/>
    <x v="0"/>
    <n v="10"/>
    <x v="2"/>
    <x v="1"/>
    <x v="1"/>
    <x v="0"/>
    <n v="20"/>
    <x v="6"/>
    <x v="7"/>
  </r>
  <r>
    <n v="3507"/>
    <s v="Marcela Torres"/>
    <x v="1"/>
    <x v="275"/>
    <x v="1"/>
    <n v="5"/>
    <x v="0"/>
    <x v="1"/>
    <x v="1"/>
    <x v="1"/>
    <n v="0"/>
    <x v="4"/>
    <x v="4"/>
  </r>
  <r>
    <n v="3508"/>
    <s v="Natália Castro"/>
    <x v="0"/>
    <x v="276"/>
    <x v="0"/>
    <n v="15"/>
    <x v="1"/>
    <x v="0"/>
    <x v="0"/>
    <x v="0"/>
    <n v="20"/>
    <x v="3"/>
    <x v="3"/>
  </r>
  <r>
    <n v="3509"/>
    <s v="Oscar Martins"/>
    <x v="2"/>
    <x v="277"/>
    <x v="1"/>
    <n v="10"/>
    <x v="0"/>
    <x v="1"/>
    <x v="1"/>
    <x v="0"/>
    <n v="20"/>
    <x v="2"/>
    <x v="2"/>
  </r>
  <r>
    <n v="3510"/>
    <s v="Patrícia Oliveira"/>
    <x v="1"/>
    <x v="278"/>
    <x v="0"/>
    <n v="5"/>
    <x v="2"/>
    <x v="1"/>
    <x v="1"/>
    <x v="1"/>
    <n v="0"/>
    <x v="1"/>
    <x v="1"/>
  </r>
  <r>
    <n v="3511"/>
    <s v="Quentin Nogueira"/>
    <x v="0"/>
    <x v="279"/>
    <x v="1"/>
    <n v="15"/>
    <x v="0"/>
    <x v="0"/>
    <x v="0"/>
    <x v="0"/>
    <n v="20"/>
    <x v="6"/>
    <x v="14"/>
  </r>
  <r>
    <n v="3512"/>
    <s v="Raquel Silva"/>
    <x v="2"/>
    <x v="280"/>
    <x v="0"/>
    <n v="10"/>
    <x v="1"/>
    <x v="1"/>
    <x v="1"/>
    <x v="0"/>
    <n v="20"/>
    <x v="6"/>
    <x v="7"/>
  </r>
  <r>
    <n v="3513"/>
    <s v="Sandro Gomes"/>
    <x v="1"/>
    <x v="281"/>
    <x v="1"/>
    <n v="5"/>
    <x v="0"/>
    <x v="1"/>
    <x v="1"/>
    <x v="1"/>
    <n v="0"/>
    <x v="4"/>
    <x v="4"/>
  </r>
  <r>
    <n v="3514"/>
    <s v="Tânia Machado"/>
    <x v="0"/>
    <x v="282"/>
    <x v="0"/>
    <n v="15"/>
    <x v="2"/>
    <x v="0"/>
    <x v="0"/>
    <x v="0"/>
    <n v="20"/>
    <x v="10"/>
    <x v="12"/>
  </r>
  <r>
    <n v="3515"/>
    <s v="Ursula Silva"/>
    <x v="2"/>
    <x v="283"/>
    <x v="1"/>
    <n v="10"/>
    <x v="0"/>
    <x v="1"/>
    <x v="1"/>
    <x v="0"/>
    <n v="20"/>
    <x v="2"/>
    <x v="2"/>
  </r>
  <r>
    <n v="3516"/>
    <s v="Vanessa Moraes"/>
    <x v="1"/>
    <x v="284"/>
    <x v="0"/>
    <n v="5"/>
    <x v="1"/>
    <x v="1"/>
    <x v="1"/>
    <x v="1"/>
    <n v="0"/>
    <x v="1"/>
    <x v="1"/>
  </r>
  <r>
    <n v="3517"/>
    <s v="William Carvalho"/>
    <x v="0"/>
    <x v="285"/>
    <x v="1"/>
    <n v="15"/>
    <x v="0"/>
    <x v="0"/>
    <x v="0"/>
    <x v="0"/>
    <n v="20"/>
    <x v="7"/>
    <x v="8"/>
  </r>
  <r>
    <n v="3518"/>
    <s v="Xavier Reis"/>
    <x v="2"/>
    <x v="286"/>
    <x v="0"/>
    <n v="10"/>
    <x v="2"/>
    <x v="1"/>
    <x v="1"/>
    <x v="0"/>
    <n v="20"/>
    <x v="9"/>
    <x v="10"/>
  </r>
  <r>
    <n v="3519"/>
    <s v="Yasmin Rocha"/>
    <x v="1"/>
    <x v="287"/>
    <x v="1"/>
    <n v="5"/>
    <x v="0"/>
    <x v="1"/>
    <x v="1"/>
    <x v="1"/>
    <n v="0"/>
    <x v="5"/>
    <x v="11"/>
  </r>
  <r>
    <n v="3520"/>
    <s v="Zacarias Duarte"/>
    <x v="0"/>
    <x v="288"/>
    <x v="0"/>
    <n v="15"/>
    <x v="1"/>
    <x v="0"/>
    <x v="0"/>
    <x v="0"/>
    <n v="20"/>
    <x v="0"/>
    <x v="0"/>
  </r>
  <r>
    <n v="3521"/>
    <s v="Amanda Freitas"/>
    <x v="2"/>
    <x v="289"/>
    <x v="1"/>
    <n v="10"/>
    <x v="0"/>
    <x v="1"/>
    <x v="1"/>
    <x v="0"/>
    <n v="20"/>
    <x v="2"/>
    <x v="2"/>
  </r>
  <r>
    <n v="3522"/>
    <s v="Bruno Almeida"/>
    <x v="1"/>
    <x v="290"/>
    <x v="0"/>
    <n v="5"/>
    <x v="2"/>
    <x v="1"/>
    <x v="1"/>
    <x v="1"/>
    <n v="0"/>
    <x v="1"/>
    <x v="1"/>
  </r>
  <r>
    <n v="3523"/>
    <s v="Carla Siqueira"/>
    <x v="0"/>
    <x v="291"/>
    <x v="1"/>
    <n v="15"/>
    <x v="0"/>
    <x v="0"/>
    <x v="0"/>
    <x v="0"/>
    <n v="20"/>
    <x v="3"/>
    <x v="3"/>
  </r>
  <r>
    <n v="3524"/>
    <s v="Diogo Ramos"/>
    <x v="2"/>
    <x v="292"/>
    <x v="0"/>
    <n v="10"/>
    <x v="1"/>
    <x v="1"/>
    <x v="1"/>
    <x v="0"/>
    <n v="20"/>
    <x v="6"/>
    <x v="7"/>
  </r>
  <r>
    <n v="3525"/>
    <s v="Elisa Magalhães"/>
    <x v="1"/>
    <x v="293"/>
    <x v="1"/>
    <n v="5"/>
    <x v="0"/>
    <x v="1"/>
    <x v="1"/>
    <x v="1"/>
    <n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59958-9E31-4579-BD9A-9448770B225D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N7:O10" firstHeaderRow="1" firstDataRow="1" firstDataCol="1" rowPageCount="1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dataField="1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item="1" hier="-1"/>
  </pageFields>
  <dataFields count="1">
    <dataField name="Contagem de EA Play Season Pas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DD61E-8E76-459C-9879-3CEC3CE8F61F}" name="Tabela dinâmica4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5">
  <location ref="B44:C48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dataField="1"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item="1" hier="-1"/>
  </pageFields>
  <dataFields count="1">
    <dataField name="Contagem de Coupon Value" fld="11" subtotal="count" baseField="2" baseItem="0"/>
  </dataFields>
  <chartFormats count="5"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6" name="Start Date">
      <autoFilter ref="A1">
        <filterColumn colId="0">
          <customFilters and="1">
            <customFilter operator="greaterThanOrEqual" val="45352"/>
            <customFilter operator="lessThanOrEqual" val="455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989D0-4C70-48B4-983D-F1046B2E2322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26:C29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multipleItemSelectionAllowed="1" showAll="0">
      <items count="15">
        <item h="1" sd="0" x="0"/>
        <item sd="0" x="1"/>
        <item h="1" sd="0" x="2"/>
        <item sd="0" x="3"/>
        <item h="1" sd="0" x="4"/>
        <item sd="0" x="5"/>
        <item h="1" sd="0" x="6"/>
        <item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6">
    <chartFormat chart="1" format="1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5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16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16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24525-2C74-44DD-B4E5-BC42A963CECC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5:E9" firstHeaderRow="1" firstDataRow="2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Col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oma de Total Value" fld="12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9D786A0-C006-4FF0-87B7-BAEADF48EB8F}" sourceName="Subscription Type">
  <pivotTables>
    <pivotTable tabId="3" name="Tabela dinâmica4"/>
  </pivotTables>
  <data>
    <tabular pivotCacheId="953432133">
      <items count="3">
        <i x="1"/>
        <i x="0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851B7E81-1A2C-4D80-A66B-454AC53DFEB0}" sourceName="Meses (Start Date)">
  <pivotTables>
    <pivotTable tabId="3" name="Tabela dinâmica3"/>
  </pivotTables>
  <data>
    <tabular pivotCacheId="953432133">
      <items count="14">
        <i x="1" s="1"/>
        <i x="2"/>
        <i x="3" s="1"/>
        <i x="4"/>
        <i x="5" s="1"/>
        <i x="6"/>
        <i x="7" s="1"/>
        <i x="8"/>
        <i x="9"/>
        <i x="10"/>
        <i x="11"/>
        <i x="12"/>
        <i x="0" nd="1"/>
        <i x="1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A61CEB2C-C492-4250-B0EB-CF1409D3693A}" sourceName="Subscription Type">
  <pivotTables>
    <pivotTable tabId="3" name="Tabela dinâmica2"/>
  </pivotTables>
  <data>
    <tabular pivotCacheId="953432133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B32B244-830D-4309-8BF0-CFB114DA839A}" cache="SegmentaçãodeDados_Subscription_Type" caption="Subscription Type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B8EE0F5F-DFDD-4AF7-8CA8-3857C57EFB53}" cache="SegmentaçãodeDados_Subscription_Type" caption="Subscription" style="SlicerStyleLight3 2" rowHeight="247650"/>
  <slicer name="Meses (Start Date)" xr10:uid="{6F786CA0-5A6F-43AF-AF30-C311613843A4}" cache="SegmentaçãodeDados_Meses__Start_Date" columnCount="2" style="SlicerStyleLight3 2" rowHeight="247650"/>
  <slicer name="Subscription Type 2" xr10:uid="{37CB33CF-DFEC-4C48-84C3-D71B0A1D4AEC}" cache="SegmentaçãodeDados_Subscription_Type1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G30" sqref="G30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T48"/>
  <sheetViews>
    <sheetView showGridLines="0" zoomScale="66" workbookViewId="0">
      <selection activeCell="N5" sqref="N5:O10"/>
    </sheetView>
  </sheetViews>
  <sheetFormatPr defaultRowHeight="14.4" x14ac:dyDescent="0.3"/>
  <cols>
    <col min="2" max="2" width="18.33203125" bestFit="1" customWidth="1"/>
    <col min="3" max="3" width="24.5546875" bestFit="1" customWidth="1"/>
    <col min="4" max="4" width="10.5546875" bestFit="1" customWidth="1"/>
    <col min="5" max="8" width="12.109375" bestFit="1" customWidth="1"/>
    <col min="9" max="9" width="9.5546875" bestFit="1" customWidth="1"/>
    <col min="10" max="11" width="10.5546875" bestFit="1" customWidth="1"/>
    <col min="12" max="12" width="12.109375" bestFit="1" customWidth="1"/>
    <col min="13" max="13" width="10.5546875" bestFit="1" customWidth="1"/>
    <col min="14" max="14" width="18.33203125" bestFit="1" customWidth="1"/>
    <col min="15" max="15" width="30.44140625" bestFit="1" customWidth="1"/>
    <col min="16" max="16" width="4.44140625" bestFit="1" customWidth="1"/>
    <col min="17" max="17" width="3.77734375" bestFit="1" customWidth="1"/>
    <col min="18" max="18" width="4.33203125" bestFit="1" customWidth="1"/>
    <col min="19" max="19" width="3.6640625" bestFit="1" customWidth="1"/>
    <col min="20" max="20" width="3.109375" bestFit="1" customWidth="1"/>
    <col min="21" max="21" width="4.109375" bestFit="1" customWidth="1"/>
    <col min="22" max="23" width="3.77734375" bestFit="1" customWidth="1"/>
    <col min="24" max="25" width="4" bestFit="1" customWidth="1"/>
    <col min="26" max="26" width="10" bestFit="1" customWidth="1"/>
    <col min="27" max="307" width="19.6640625" bestFit="1" customWidth="1"/>
    <col min="308" max="308" width="10" bestFit="1" customWidth="1"/>
    <col min="309" max="309" width="12" bestFit="1" customWidth="1"/>
    <col min="310" max="310" width="14.88671875" bestFit="1" customWidth="1"/>
    <col min="311" max="311" width="12" bestFit="1" customWidth="1"/>
    <col min="312" max="312" width="14.88671875" bestFit="1" customWidth="1"/>
    <col min="313" max="313" width="12" bestFit="1" customWidth="1"/>
    <col min="314" max="314" width="14.88671875" bestFit="1" customWidth="1"/>
    <col min="315" max="315" width="12" bestFit="1" customWidth="1"/>
    <col min="316" max="316" width="14.88671875" bestFit="1" customWidth="1"/>
    <col min="317" max="317" width="12" bestFit="1" customWidth="1"/>
    <col min="318" max="318" width="14.88671875" bestFit="1" customWidth="1"/>
    <col min="319" max="319" width="12" bestFit="1" customWidth="1"/>
    <col min="320" max="320" width="14.88671875" bestFit="1" customWidth="1"/>
    <col min="321" max="321" width="12" bestFit="1" customWidth="1"/>
    <col min="322" max="322" width="14.88671875" bestFit="1" customWidth="1"/>
    <col min="323" max="323" width="12" bestFit="1" customWidth="1"/>
    <col min="324" max="324" width="14.88671875" bestFit="1" customWidth="1"/>
    <col min="325" max="325" width="12" bestFit="1" customWidth="1"/>
    <col min="326" max="326" width="14.88671875" bestFit="1" customWidth="1"/>
    <col min="327" max="327" width="12" bestFit="1" customWidth="1"/>
    <col min="328" max="328" width="14.88671875" bestFit="1" customWidth="1"/>
    <col min="329" max="329" width="12" bestFit="1" customWidth="1"/>
    <col min="330" max="330" width="14.88671875" bestFit="1" customWidth="1"/>
    <col min="331" max="331" width="12" bestFit="1" customWidth="1"/>
    <col min="332" max="332" width="14.88671875" bestFit="1" customWidth="1"/>
    <col min="333" max="333" width="12" bestFit="1" customWidth="1"/>
    <col min="334" max="334" width="14.88671875" bestFit="1" customWidth="1"/>
    <col min="335" max="335" width="12" bestFit="1" customWidth="1"/>
    <col min="336" max="336" width="14.88671875" bestFit="1" customWidth="1"/>
    <col min="337" max="337" width="12" bestFit="1" customWidth="1"/>
    <col min="338" max="338" width="14.88671875" bestFit="1" customWidth="1"/>
    <col min="339" max="339" width="12" bestFit="1" customWidth="1"/>
    <col min="340" max="340" width="14.88671875" bestFit="1" customWidth="1"/>
    <col min="341" max="341" width="12" bestFit="1" customWidth="1"/>
    <col min="342" max="342" width="14.88671875" bestFit="1" customWidth="1"/>
    <col min="343" max="343" width="12" bestFit="1" customWidth="1"/>
    <col min="344" max="344" width="14.88671875" bestFit="1" customWidth="1"/>
    <col min="345" max="345" width="12" bestFit="1" customWidth="1"/>
    <col min="346" max="346" width="14.88671875" bestFit="1" customWidth="1"/>
    <col min="347" max="347" width="12" bestFit="1" customWidth="1"/>
    <col min="348" max="348" width="14.88671875" bestFit="1" customWidth="1"/>
    <col min="349" max="349" width="12" bestFit="1" customWidth="1"/>
    <col min="350" max="350" width="14.88671875" bestFit="1" customWidth="1"/>
    <col min="351" max="351" width="12" bestFit="1" customWidth="1"/>
    <col min="352" max="352" width="14.88671875" bestFit="1" customWidth="1"/>
    <col min="353" max="353" width="12" bestFit="1" customWidth="1"/>
    <col min="354" max="354" width="14.88671875" bestFit="1" customWidth="1"/>
    <col min="355" max="355" width="12" bestFit="1" customWidth="1"/>
    <col min="356" max="356" width="14.88671875" bestFit="1" customWidth="1"/>
    <col min="357" max="357" width="12" bestFit="1" customWidth="1"/>
    <col min="358" max="358" width="14.88671875" bestFit="1" customWidth="1"/>
    <col min="359" max="359" width="12" bestFit="1" customWidth="1"/>
    <col min="360" max="360" width="14.88671875" bestFit="1" customWidth="1"/>
    <col min="361" max="361" width="12" bestFit="1" customWidth="1"/>
    <col min="362" max="362" width="14.88671875" bestFit="1" customWidth="1"/>
    <col min="363" max="363" width="12" bestFit="1" customWidth="1"/>
    <col min="364" max="364" width="14.88671875" bestFit="1" customWidth="1"/>
    <col min="365" max="365" width="12" bestFit="1" customWidth="1"/>
    <col min="366" max="366" width="14.88671875" bestFit="1" customWidth="1"/>
    <col min="367" max="367" width="12" bestFit="1" customWidth="1"/>
    <col min="368" max="368" width="14.88671875" bestFit="1" customWidth="1"/>
    <col min="369" max="369" width="12" bestFit="1" customWidth="1"/>
    <col min="370" max="370" width="14.88671875" bestFit="1" customWidth="1"/>
    <col min="371" max="371" width="12" bestFit="1" customWidth="1"/>
    <col min="372" max="372" width="14.88671875" bestFit="1" customWidth="1"/>
    <col min="373" max="373" width="12" bestFit="1" customWidth="1"/>
    <col min="374" max="374" width="14.88671875" bestFit="1" customWidth="1"/>
    <col min="375" max="375" width="12" bestFit="1" customWidth="1"/>
    <col min="376" max="376" width="14.88671875" bestFit="1" customWidth="1"/>
    <col min="377" max="377" width="12" bestFit="1" customWidth="1"/>
    <col min="378" max="378" width="14.88671875" bestFit="1" customWidth="1"/>
    <col min="379" max="379" width="12" bestFit="1" customWidth="1"/>
    <col min="380" max="380" width="14.88671875" bestFit="1" customWidth="1"/>
    <col min="381" max="381" width="12" bestFit="1" customWidth="1"/>
    <col min="382" max="382" width="14.88671875" bestFit="1" customWidth="1"/>
    <col min="383" max="383" width="12" bestFit="1" customWidth="1"/>
    <col min="384" max="384" width="14.88671875" bestFit="1" customWidth="1"/>
    <col min="385" max="385" width="12" bestFit="1" customWidth="1"/>
    <col min="386" max="386" width="14.88671875" bestFit="1" customWidth="1"/>
    <col min="387" max="387" width="12" bestFit="1" customWidth="1"/>
    <col min="388" max="388" width="14.88671875" bestFit="1" customWidth="1"/>
    <col min="389" max="389" width="12" bestFit="1" customWidth="1"/>
    <col min="390" max="390" width="14.88671875" bestFit="1" customWidth="1"/>
    <col min="391" max="391" width="12" bestFit="1" customWidth="1"/>
    <col min="392" max="392" width="14.88671875" bestFit="1" customWidth="1"/>
    <col min="393" max="393" width="12" bestFit="1" customWidth="1"/>
    <col min="394" max="394" width="14.88671875" bestFit="1" customWidth="1"/>
    <col min="395" max="395" width="12" bestFit="1" customWidth="1"/>
    <col min="396" max="396" width="14.88671875" bestFit="1" customWidth="1"/>
    <col min="397" max="397" width="12" bestFit="1" customWidth="1"/>
    <col min="398" max="398" width="14.88671875" bestFit="1" customWidth="1"/>
    <col min="399" max="399" width="12" bestFit="1" customWidth="1"/>
    <col min="400" max="400" width="14.88671875" bestFit="1" customWidth="1"/>
    <col min="401" max="401" width="12" bestFit="1" customWidth="1"/>
    <col min="402" max="402" width="14.88671875" bestFit="1" customWidth="1"/>
    <col min="403" max="403" width="12" bestFit="1" customWidth="1"/>
    <col min="404" max="404" width="14.88671875" bestFit="1" customWidth="1"/>
    <col min="405" max="405" width="12" bestFit="1" customWidth="1"/>
    <col min="406" max="406" width="14.88671875" bestFit="1" customWidth="1"/>
    <col min="407" max="407" width="12" bestFit="1" customWidth="1"/>
    <col min="408" max="408" width="14.88671875" bestFit="1" customWidth="1"/>
    <col min="409" max="409" width="12" bestFit="1" customWidth="1"/>
    <col min="410" max="410" width="14.88671875" bestFit="1" customWidth="1"/>
    <col min="411" max="411" width="12" bestFit="1" customWidth="1"/>
    <col min="412" max="412" width="14.88671875" bestFit="1" customWidth="1"/>
    <col min="413" max="413" width="12" bestFit="1" customWidth="1"/>
    <col min="414" max="414" width="14.88671875" bestFit="1" customWidth="1"/>
    <col min="415" max="415" width="12" bestFit="1" customWidth="1"/>
    <col min="416" max="416" width="14.88671875" bestFit="1" customWidth="1"/>
    <col min="417" max="417" width="12" bestFit="1" customWidth="1"/>
    <col min="418" max="418" width="14.88671875" bestFit="1" customWidth="1"/>
    <col min="419" max="419" width="12" bestFit="1" customWidth="1"/>
    <col min="420" max="420" width="14.88671875" bestFit="1" customWidth="1"/>
    <col min="421" max="421" width="12" bestFit="1" customWidth="1"/>
    <col min="422" max="422" width="14.88671875" bestFit="1" customWidth="1"/>
    <col min="423" max="423" width="12" bestFit="1" customWidth="1"/>
    <col min="424" max="424" width="14.88671875" bestFit="1" customWidth="1"/>
    <col min="425" max="425" width="12" bestFit="1" customWidth="1"/>
    <col min="426" max="426" width="14.88671875" bestFit="1" customWidth="1"/>
    <col min="427" max="427" width="12" bestFit="1" customWidth="1"/>
    <col min="428" max="428" width="14.88671875" bestFit="1" customWidth="1"/>
    <col min="429" max="429" width="12" bestFit="1" customWidth="1"/>
    <col min="430" max="430" width="14.88671875" bestFit="1" customWidth="1"/>
    <col min="431" max="431" width="12" bestFit="1" customWidth="1"/>
    <col min="432" max="432" width="14.88671875" bestFit="1" customWidth="1"/>
    <col min="433" max="433" width="12" bestFit="1" customWidth="1"/>
    <col min="434" max="434" width="14.88671875" bestFit="1" customWidth="1"/>
    <col min="435" max="435" width="12" bestFit="1" customWidth="1"/>
    <col min="436" max="436" width="14.88671875" bestFit="1" customWidth="1"/>
    <col min="437" max="437" width="12" bestFit="1" customWidth="1"/>
    <col min="438" max="438" width="14.88671875" bestFit="1" customWidth="1"/>
    <col min="439" max="439" width="12" bestFit="1" customWidth="1"/>
    <col min="440" max="440" width="14.88671875" bestFit="1" customWidth="1"/>
    <col min="441" max="441" width="12" bestFit="1" customWidth="1"/>
    <col min="442" max="442" width="14.88671875" bestFit="1" customWidth="1"/>
    <col min="443" max="443" width="12" bestFit="1" customWidth="1"/>
    <col min="444" max="444" width="14.88671875" bestFit="1" customWidth="1"/>
    <col min="445" max="445" width="12" bestFit="1" customWidth="1"/>
    <col min="446" max="446" width="14.88671875" bestFit="1" customWidth="1"/>
    <col min="447" max="447" width="12" bestFit="1" customWidth="1"/>
    <col min="448" max="448" width="14.88671875" bestFit="1" customWidth="1"/>
    <col min="449" max="449" width="12" bestFit="1" customWidth="1"/>
    <col min="450" max="450" width="14.88671875" bestFit="1" customWidth="1"/>
    <col min="451" max="451" width="12" bestFit="1" customWidth="1"/>
    <col min="452" max="452" width="14.88671875" bestFit="1" customWidth="1"/>
    <col min="453" max="453" width="12" bestFit="1" customWidth="1"/>
    <col min="454" max="454" width="14.88671875" bestFit="1" customWidth="1"/>
    <col min="455" max="455" width="12" bestFit="1" customWidth="1"/>
    <col min="456" max="456" width="14.88671875" bestFit="1" customWidth="1"/>
    <col min="457" max="457" width="12" bestFit="1" customWidth="1"/>
    <col min="458" max="458" width="14.88671875" bestFit="1" customWidth="1"/>
    <col min="459" max="459" width="12" bestFit="1" customWidth="1"/>
    <col min="460" max="460" width="14.88671875" bestFit="1" customWidth="1"/>
    <col min="461" max="461" width="12" bestFit="1" customWidth="1"/>
    <col min="462" max="462" width="14.88671875" bestFit="1" customWidth="1"/>
    <col min="463" max="463" width="12" bestFit="1" customWidth="1"/>
    <col min="464" max="464" width="14.88671875" bestFit="1" customWidth="1"/>
    <col min="465" max="465" width="12" bestFit="1" customWidth="1"/>
    <col min="466" max="466" width="14.88671875" bestFit="1" customWidth="1"/>
    <col min="467" max="467" width="12" bestFit="1" customWidth="1"/>
    <col min="468" max="468" width="14.88671875" bestFit="1" customWidth="1"/>
    <col min="469" max="469" width="12" bestFit="1" customWidth="1"/>
    <col min="470" max="470" width="14.88671875" bestFit="1" customWidth="1"/>
    <col min="471" max="471" width="12" bestFit="1" customWidth="1"/>
    <col min="472" max="472" width="14.88671875" bestFit="1" customWidth="1"/>
    <col min="473" max="473" width="12" bestFit="1" customWidth="1"/>
    <col min="474" max="474" width="14.88671875" bestFit="1" customWidth="1"/>
    <col min="475" max="475" width="12" bestFit="1" customWidth="1"/>
    <col min="476" max="476" width="14.88671875" bestFit="1" customWidth="1"/>
    <col min="477" max="477" width="12" bestFit="1" customWidth="1"/>
    <col min="478" max="478" width="14.88671875" bestFit="1" customWidth="1"/>
    <col min="479" max="479" width="12" bestFit="1" customWidth="1"/>
    <col min="480" max="480" width="14.88671875" bestFit="1" customWidth="1"/>
    <col min="481" max="481" width="12" bestFit="1" customWidth="1"/>
    <col min="482" max="482" width="14.88671875" bestFit="1" customWidth="1"/>
    <col min="483" max="483" width="12" bestFit="1" customWidth="1"/>
    <col min="484" max="484" width="14.88671875" bestFit="1" customWidth="1"/>
    <col min="485" max="485" width="12" bestFit="1" customWidth="1"/>
    <col min="486" max="486" width="14.88671875" bestFit="1" customWidth="1"/>
    <col min="487" max="487" width="12" bestFit="1" customWidth="1"/>
    <col min="488" max="488" width="14.88671875" bestFit="1" customWidth="1"/>
    <col min="489" max="489" width="12" bestFit="1" customWidth="1"/>
    <col min="490" max="490" width="14.88671875" bestFit="1" customWidth="1"/>
    <col min="491" max="491" width="12" bestFit="1" customWidth="1"/>
    <col min="492" max="492" width="14.88671875" bestFit="1" customWidth="1"/>
    <col min="493" max="493" width="12" bestFit="1" customWidth="1"/>
    <col min="494" max="494" width="14.88671875" bestFit="1" customWidth="1"/>
    <col min="495" max="495" width="12" bestFit="1" customWidth="1"/>
    <col min="496" max="496" width="14.88671875" bestFit="1" customWidth="1"/>
    <col min="497" max="497" width="12" bestFit="1" customWidth="1"/>
    <col min="498" max="498" width="14.88671875" bestFit="1" customWidth="1"/>
    <col min="499" max="499" width="12" bestFit="1" customWidth="1"/>
    <col min="500" max="500" width="14.88671875" bestFit="1" customWidth="1"/>
    <col min="501" max="501" width="12" bestFit="1" customWidth="1"/>
    <col min="502" max="502" width="14.88671875" bestFit="1" customWidth="1"/>
    <col min="503" max="503" width="12" bestFit="1" customWidth="1"/>
    <col min="504" max="504" width="14.88671875" bestFit="1" customWidth="1"/>
    <col min="505" max="505" width="12" bestFit="1" customWidth="1"/>
    <col min="506" max="506" width="14.88671875" bestFit="1" customWidth="1"/>
    <col min="507" max="507" width="12" bestFit="1" customWidth="1"/>
    <col min="508" max="508" width="14.88671875" bestFit="1" customWidth="1"/>
    <col min="509" max="509" width="12" bestFit="1" customWidth="1"/>
    <col min="510" max="510" width="14.88671875" bestFit="1" customWidth="1"/>
    <col min="511" max="511" width="12" bestFit="1" customWidth="1"/>
    <col min="512" max="512" width="14.88671875" bestFit="1" customWidth="1"/>
    <col min="513" max="513" width="12" bestFit="1" customWidth="1"/>
    <col min="514" max="514" width="14.88671875" bestFit="1" customWidth="1"/>
    <col min="515" max="515" width="12" bestFit="1" customWidth="1"/>
    <col min="516" max="516" width="14.88671875" bestFit="1" customWidth="1"/>
    <col min="517" max="517" width="12" bestFit="1" customWidth="1"/>
    <col min="518" max="518" width="14.88671875" bestFit="1" customWidth="1"/>
    <col min="519" max="519" width="12" bestFit="1" customWidth="1"/>
    <col min="520" max="520" width="14.88671875" bestFit="1" customWidth="1"/>
    <col min="521" max="521" width="12" bestFit="1" customWidth="1"/>
    <col min="522" max="522" width="14.88671875" bestFit="1" customWidth="1"/>
    <col min="523" max="523" width="12" bestFit="1" customWidth="1"/>
    <col min="524" max="524" width="14.88671875" bestFit="1" customWidth="1"/>
    <col min="525" max="525" width="12" bestFit="1" customWidth="1"/>
    <col min="526" max="526" width="14.88671875" bestFit="1" customWidth="1"/>
    <col min="527" max="527" width="12" bestFit="1" customWidth="1"/>
    <col min="528" max="528" width="14.88671875" bestFit="1" customWidth="1"/>
    <col min="529" max="529" width="12" bestFit="1" customWidth="1"/>
    <col min="530" max="530" width="14.88671875" bestFit="1" customWidth="1"/>
    <col min="531" max="531" width="12" bestFit="1" customWidth="1"/>
    <col min="532" max="532" width="14.88671875" bestFit="1" customWidth="1"/>
    <col min="533" max="533" width="12" bestFit="1" customWidth="1"/>
    <col min="534" max="534" width="14.88671875" bestFit="1" customWidth="1"/>
    <col min="535" max="535" width="12" bestFit="1" customWidth="1"/>
    <col min="536" max="536" width="14.88671875" bestFit="1" customWidth="1"/>
    <col min="537" max="537" width="12" bestFit="1" customWidth="1"/>
    <col min="538" max="538" width="14.88671875" bestFit="1" customWidth="1"/>
    <col min="539" max="539" width="12" bestFit="1" customWidth="1"/>
    <col min="540" max="540" width="14.88671875" bestFit="1" customWidth="1"/>
    <col min="541" max="541" width="12" bestFit="1" customWidth="1"/>
    <col min="542" max="542" width="14.88671875" bestFit="1" customWidth="1"/>
    <col min="543" max="543" width="12" bestFit="1" customWidth="1"/>
    <col min="544" max="544" width="14.88671875" bestFit="1" customWidth="1"/>
    <col min="545" max="545" width="12" bestFit="1" customWidth="1"/>
    <col min="546" max="546" width="14.88671875" bestFit="1" customWidth="1"/>
    <col min="547" max="547" width="12" bestFit="1" customWidth="1"/>
    <col min="548" max="548" width="14.88671875" bestFit="1" customWidth="1"/>
    <col min="549" max="549" width="12" bestFit="1" customWidth="1"/>
    <col min="550" max="550" width="14.88671875" bestFit="1" customWidth="1"/>
    <col min="551" max="551" width="12" bestFit="1" customWidth="1"/>
    <col min="552" max="552" width="14.88671875" bestFit="1" customWidth="1"/>
    <col min="553" max="553" width="12" bestFit="1" customWidth="1"/>
    <col min="554" max="554" width="14.88671875" bestFit="1" customWidth="1"/>
    <col min="555" max="555" width="12" bestFit="1" customWidth="1"/>
    <col min="556" max="556" width="14.88671875" bestFit="1" customWidth="1"/>
    <col min="557" max="557" width="12" bestFit="1" customWidth="1"/>
    <col min="558" max="558" width="14.88671875" bestFit="1" customWidth="1"/>
    <col min="559" max="559" width="12" bestFit="1" customWidth="1"/>
    <col min="560" max="560" width="14.88671875" bestFit="1" customWidth="1"/>
    <col min="561" max="561" width="12" bestFit="1" customWidth="1"/>
    <col min="562" max="562" width="14.88671875" bestFit="1" customWidth="1"/>
    <col min="563" max="563" width="12" bestFit="1" customWidth="1"/>
    <col min="564" max="564" width="14.88671875" bestFit="1" customWidth="1"/>
    <col min="565" max="565" width="12" bestFit="1" customWidth="1"/>
    <col min="566" max="566" width="14.88671875" bestFit="1" customWidth="1"/>
    <col min="567" max="567" width="12" bestFit="1" customWidth="1"/>
    <col min="568" max="568" width="14.88671875" bestFit="1" customWidth="1"/>
    <col min="569" max="569" width="12" bestFit="1" customWidth="1"/>
    <col min="570" max="570" width="14.88671875" bestFit="1" customWidth="1"/>
    <col min="571" max="571" width="12" bestFit="1" customWidth="1"/>
    <col min="572" max="572" width="14.88671875" bestFit="1" customWidth="1"/>
    <col min="573" max="573" width="12" bestFit="1" customWidth="1"/>
    <col min="574" max="574" width="14.88671875" bestFit="1" customWidth="1"/>
    <col min="575" max="575" width="12" bestFit="1" customWidth="1"/>
    <col min="576" max="576" width="14.88671875" bestFit="1" customWidth="1"/>
    <col min="577" max="577" width="12" bestFit="1" customWidth="1"/>
    <col min="578" max="578" width="14.88671875" bestFit="1" customWidth="1"/>
    <col min="579" max="579" width="12" bestFit="1" customWidth="1"/>
    <col min="580" max="580" width="14.88671875" bestFit="1" customWidth="1"/>
    <col min="581" max="581" width="12" bestFit="1" customWidth="1"/>
    <col min="582" max="582" width="14.88671875" bestFit="1" customWidth="1"/>
    <col min="583" max="583" width="12" bestFit="1" customWidth="1"/>
    <col min="584" max="584" width="14.88671875" bestFit="1" customWidth="1"/>
    <col min="585" max="585" width="12" bestFit="1" customWidth="1"/>
    <col min="586" max="586" width="14.88671875" bestFit="1" customWidth="1"/>
    <col min="587" max="587" width="12" bestFit="1" customWidth="1"/>
    <col min="588" max="588" width="14.88671875" bestFit="1" customWidth="1"/>
    <col min="589" max="589" width="12" bestFit="1" customWidth="1"/>
    <col min="590" max="590" width="14.88671875" bestFit="1" customWidth="1"/>
    <col min="591" max="591" width="11.88671875" bestFit="1" customWidth="1"/>
  </cols>
  <sheetData>
    <row r="1" spans="2:20" x14ac:dyDescent="0.3">
      <c r="C1" t="s">
        <v>318</v>
      </c>
    </row>
    <row r="3" spans="2:20" x14ac:dyDescent="0.3">
      <c r="O3" t="s">
        <v>322</v>
      </c>
    </row>
    <row r="5" spans="2:20" x14ac:dyDescent="0.3">
      <c r="B5" s="13" t="s">
        <v>313</v>
      </c>
      <c r="C5" s="13" t="s">
        <v>316</v>
      </c>
      <c r="N5" s="13" t="s">
        <v>13</v>
      </c>
      <c r="O5" t="s">
        <v>34</v>
      </c>
    </row>
    <row r="6" spans="2:20" x14ac:dyDescent="0.3">
      <c r="B6" s="13" t="s">
        <v>314</v>
      </c>
      <c r="C6" t="s">
        <v>30</v>
      </c>
      <c r="D6" t="s">
        <v>26</v>
      </c>
      <c r="E6" t="s">
        <v>315</v>
      </c>
    </row>
    <row r="7" spans="2:20" x14ac:dyDescent="0.3">
      <c r="B7" s="14" t="s">
        <v>30</v>
      </c>
      <c r="C7" s="12">
        <v>140</v>
      </c>
      <c r="D7" s="12">
        <v>52</v>
      </c>
      <c r="E7" s="12">
        <v>192</v>
      </c>
      <c r="N7" s="13" t="s">
        <v>314</v>
      </c>
      <c r="O7" t="s">
        <v>321</v>
      </c>
    </row>
    <row r="8" spans="2:20" x14ac:dyDescent="0.3">
      <c r="B8" s="14" t="s">
        <v>26</v>
      </c>
      <c r="C8" s="12">
        <v>2684</v>
      </c>
      <c r="D8" s="12">
        <v>695</v>
      </c>
      <c r="E8" s="12">
        <v>3379</v>
      </c>
      <c r="N8" s="14" t="s">
        <v>30</v>
      </c>
      <c r="O8">
        <v>47</v>
      </c>
      <c r="T8">
        <f>GETPIVOTDATA("EA Play Season Pass",$N$7,"Auto Renewal","No")</f>
        <v>47</v>
      </c>
    </row>
    <row r="9" spans="2:20" x14ac:dyDescent="0.3">
      <c r="B9" s="14" t="s">
        <v>315</v>
      </c>
      <c r="C9" s="12">
        <v>2824</v>
      </c>
      <c r="D9" s="12">
        <v>747</v>
      </c>
      <c r="E9" s="12">
        <v>3571</v>
      </c>
      <c r="N9" s="14" t="s">
        <v>26</v>
      </c>
      <c r="O9">
        <v>49</v>
      </c>
    </row>
    <row r="10" spans="2:20" x14ac:dyDescent="0.3">
      <c r="N10" s="14" t="s">
        <v>315</v>
      </c>
      <c r="O10">
        <v>96</v>
      </c>
    </row>
    <row r="22" spans="2:5" x14ac:dyDescent="0.3">
      <c r="E22" t="s">
        <v>317</v>
      </c>
    </row>
    <row r="26" spans="2:5" x14ac:dyDescent="0.3">
      <c r="B26" s="13" t="s">
        <v>314</v>
      </c>
      <c r="C26" t="s">
        <v>313</v>
      </c>
    </row>
    <row r="27" spans="2:5" x14ac:dyDescent="0.3">
      <c r="B27" s="14" t="s">
        <v>30</v>
      </c>
      <c r="C27" s="12">
        <v>712</v>
      </c>
    </row>
    <row r="28" spans="2:5" x14ac:dyDescent="0.3">
      <c r="B28" s="14" t="s">
        <v>26</v>
      </c>
      <c r="C28" s="12">
        <v>1715</v>
      </c>
    </row>
    <row r="29" spans="2:5" x14ac:dyDescent="0.3">
      <c r="B29" s="14" t="s">
        <v>315</v>
      </c>
      <c r="C29" s="12">
        <v>2427</v>
      </c>
    </row>
    <row r="40" spans="2:8" x14ac:dyDescent="0.3">
      <c r="H40" t="s">
        <v>320</v>
      </c>
    </row>
    <row r="42" spans="2:8" x14ac:dyDescent="0.3">
      <c r="B42" s="13" t="s">
        <v>15</v>
      </c>
      <c r="C42" t="s">
        <v>26</v>
      </c>
    </row>
    <row r="44" spans="2:8" x14ac:dyDescent="0.3">
      <c r="B44" s="13" t="s">
        <v>314</v>
      </c>
      <c r="C44" t="s">
        <v>319</v>
      </c>
    </row>
    <row r="45" spans="2:8" x14ac:dyDescent="0.3">
      <c r="B45" s="14" t="s">
        <v>29</v>
      </c>
      <c r="C45" s="15">
        <v>20</v>
      </c>
    </row>
    <row r="46" spans="2:8" x14ac:dyDescent="0.3">
      <c r="B46" s="14" t="s">
        <v>34</v>
      </c>
      <c r="C46" s="15">
        <v>21</v>
      </c>
    </row>
    <row r="47" spans="2:8" x14ac:dyDescent="0.3">
      <c r="B47" s="14" t="s">
        <v>25</v>
      </c>
      <c r="C47" s="15">
        <v>19</v>
      </c>
    </row>
    <row r="48" spans="2:8" x14ac:dyDescent="0.3">
      <c r="B48" s="14" t="s">
        <v>315</v>
      </c>
      <c r="C48" s="15">
        <v>60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C1:C456"/>
  <sheetViews>
    <sheetView showGridLines="0" tabSelected="1" zoomScale="62" zoomScaleNormal="80" workbookViewId="0">
      <selection activeCell="Z31" sqref="Z31"/>
    </sheetView>
  </sheetViews>
  <sheetFormatPr defaultRowHeight="14.4" x14ac:dyDescent="0.3"/>
  <cols>
    <col min="1" max="1" width="20" customWidth="1"/>
    <col min="2" max="2" width="3.5546875" customWidth="1"/>
    <col min="12" max="12" width="6.5546875" customWidth="1"/>
  </cols>
  <sheetData>
    <row r="1" spans="3:3" s="3" customFormat="1" x14ac:dyDescent="0.3"/>
    <row r="2" spans="3:3" s="3" customFormat="1" ht="49.2" customHeight="1" x14ac:dyDescent="1.1000000000000001">
      <c r="C2" s="16" t="s">
        <v>323</v>
      </c>
    </row>
    <row r="3" spans="3:3" s="3" customFormat="1" ht="8.25" customHeight="1" x14ac:dyDescent="0.3"/>
    <row r="4" spans="3:3" s="3" customFormat="1" ht="7.5" customHeight="1" x14ac:dyDescent="0.3"/>
    <row r="5" spans="3:3" s="3" customFormat="1" ht="10.199999999999999" customHeight="1" x14ac:dyDescent="0.3"/>
    <row r="6" spans="3:3" s="7" customFormat="1" ht="9.75" customHeight="1" x14ac:dyDescent="0.3"/>
    <row r="7" spans="3:3" s="7" customFormat="1" ht="33" customHeight="1" x14ac:dyDescent="0.3"/>
    <row r="8" spans="3:3" s="7" customFormat="1" x14ac:dyDescent="0.3"/>
    <row r="9" spans="3:3" s="7" customFormat="1" x14ac:dyDescent="0.3"/>
    <row r="10" spans="3:3" s="7" customFormat="1" x14ac:dyDescent="0.3"/>
    <row r="11" spans="3:3" s="7" customFormat="1" x14ac:dyDescent="0.3"/>
    <row r="12" spans="3:3" s="7" customFormat="1" x14ac:dyDescent="0.3"/>
    <row r="13" spans="3:3" s="7" customFormat="1" x14ac:dyDescent="0.3"/>
    <row r="14" spans="3:3" s="7" customFormat="1" x14ac:dyDescent="0.3"/>
    <row r="15" spans="3:3" s="7" customFormat="1" x14ac:dyDescent="0.3"/>
    <row r="16" spans="3:3" s="7" customFormat="1" x14ac:dyDescent="0.3"/>
    <row r="17" s="7" customFormat="1" x14ac:dyDescent="0.3"/>
    <row r="18" s="7" customFormat="1" x14ac:dyDescent="0.3"/>
    <row r="19" s="7" customFormat="1" x14ac:dyDescent="0.3"/>
    <row r="20" s="7" customFormat="1" x14ac:dyDescent="0.3"/>
    <row r="21" s="7" customFormat="1" x14ac:dyDescent="0.3"/>
    <row r="22" s="7" customFormat="1" x14ac:dyDescent="0.3"/>
    <row r="23" s="7" customFormat="1" x14ac:dyDescent="0.3"/>
    <row r="24" s="7" customFormat="1" x14ac:dyDescent="0.3"/>
    <row r="25" s="7" customFormat="1" x14ac:dyDescent="0.3"/>
    <row r="26" s="7" customFormat="1" x14ac:dyDescent="0.3"/>
    <row r="27" s="7" customFormat="1" x14ac:dyDescent="0.3"/>
    <row r="28" s="7" customFormat="1" x14ac:dyDescent="0.3"/>
    <row r="29" s="7" customFormat="1" x14ac:dyDescent="0.3"/>
    <row r="30" s="7" customFormat="1" x14ac:dyDescent="0.3"/>
    <row r="31" s="7" customFormat="1" x14ac:dyDescent="0.3"/>
    <row r="32" s="7" customFormat="1" x14ac:dyDescent="0.3"/>
    <row r="33" s="7" customFormat="1" x14ac:dyDescent="0.3"/>
    <row r="34" s="7" customFormat="1" x14ac:dyDescent="0.3"/>
    <row r="35" s="7" customFormat="1" x14ac:dyDescent="0.3"/>
    <row r="36" s="7" customFormat="1" x14ac:dyDescent="0.3"/>
    <row r="37" s="7" customFormat="1" x14ac:dyDescent="0.3"/>
    <row r="38" s="7" customFormat="1" x14ac:dyDescent="0.3"/>
    <row r="39" s="7" customFormat="1" x14ac:dyDescent="0.3"/>
    <row r="40" s="7" customFormat="1" x14ac:dyDescent="0.3"/>
    <row r="41" s="7" customFormat="1" x14ac:dyDescent="0.3"/>
    <row r="42" s="7" customFormat="1" x14ac:dyDescent="0.3"/>
    <row r="43" s="7" customFormat="1" x14ac:dyDescent="0.3"/>
    <row r="44" s="7" customFormat="1" x14ac:dyDescent="0.3"/>
    <row r="45" s="7" customFormat="1" x14ac:dyDescent="0.3"/>
    <row r="46" s="7" customFormat="1" x14ac:dyDescent="0.3"/>
    <row r="47" s="7" customFormat="1" x14ac:dyDescent="0.3"/>
    <row r="48" s="7" customFormat="1" x14ac:dyDescent="0.3"/>
    <row r="49" s="7" customFormat="1" x14ac:dyDescent="0.3"/>
    <row r="50" s="7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  <row r="56" s="7" customFormat="1" x14ac:dyDescent="0.3"/>
    <row r="57" s="7" customFormat="1" x14ac:dyDescent="0.3"/>
    <row r="58" s="7" customFormat="1" x14ac:dyDescent="0.3"/>
    <row r="59" s="7" customFormat="1" x14ac:dyDescent="0.3"/>
    <row r="60" s="7" customFormat="1" x14ac:dyDescent="0.3"/>
    <row r="61" s="7" customFormat="1" x14ac:dyDescent="0.3"/>
    <row r="62" s="7" customFormat="1" x14ac:dyDescent="0.3"/>
    <row r="63" s="7" customFormat="1" x14ac:dyDescent="0.3"/>
    <row r="64" s="7" customFormat="1" x14ac:dyDescent="0.3"/>
    <row r="65" s="7" customFormat="1" x14ac:dyDescent="0.3"/>
    <row r="66" s="7" customFormat="1" x14ac:dyDescent="0.3"/>
    <row r="67" s="7" customFormat="1" x14ac:dyDescent="0.3"/>
    <row r="68" s="7" customFormat="1" x14ac:dyDescent="0.3"/>
    <row r="69" s="7" customFormat="1" x14ac:dyDescent="0.3"/>
    <row r="70" s="7" customFormat="1" x14ac:dyDescent="0.3"/>
    <row r="71" s="7" customFormat="1" x14ac:dyDescent="0.3"/>
    <row r="72" s="7" customFormat="1" x14ac:dyDescent="0.3"/>
    <row r="73" s="7" customFormat="1" x14ac:dyDescent="0.3"/>
    <row r="74" s="7" customFormat="1" x14ac:dyDescent="0.3"/>
    <row r="75" s="7" customFormat="1" x14ac:dyDescent="0.3"/>
    <row r="76" s="7" customFormat="1" x14ac:dyDescent="0.3"/>
    <row r="77" s="7" customFormat="1" x14ac:dyDescent="0.3"/>
    <row r="78" s="7" customFormat="1" x14ac:dyDescent="0.3"/>
    <row r="79" s="7" customFormat="1" x14ac:dyDescent="0.3"/>
    <row r="80" s="7" customFormat="1" x14ac:dyDescent="0.3"/>
    <row r="81" s="7" customFormat="1" x14ac:dyDescent="0.3"/>
    <row r="82" s="7" customFormat="1" x14ac:dyDescent="0.3"/>
    <row r="83" s="7" customFormat="1" x14ac:dyDescent="0.3"/>
    <row r="84" s="7" customFormat="1" x14ac:dyDescent="0.3"/>
    <row r="85" s="7" customFormat="1" x14ac:dyDescent="0.3"/>
    <row r="86" s="7" customFormat="1" x14ac:dyDescent="0.3"/>
    <row r="87" s="7" customFormat="1" x14ac:dyDescent="0.3"/>
    <row r="88" s="7" customFormat="1" x14ac:dyDescent="0.3"/>
    <row r="89" s="7" customFormat="1" x14ac:dyDescent="0.3"/>
    <row r="90" s="7" customFormat="1" x14ac:dyDescent="0.3"/>
    <row r="91" s="7" customFormat="1" x14ac:dyDescent="0.3"/>
    <row r="92" s="7" customFormat="1" x14ac:dyDescent="0.3"/>
    <row r="93" s="7" customFormat="1" x14ac:dyDescent="0.3"/>
    <row r="94" s="7" customFormat="1" x14ac:dyDescent="0.3"/>
    <row r="95" s="7" customFormat="1" x14ac:dyDescent="0.3"/>
    <row r="96" s="7" customFormat="1" x14ac:dyDescent="0.3"/>
    <row r="97" s="7" customFormat="1" x14ac:dyDescent="0.3"/>
    <row r="98" s="7" customFormat="1" x14ac:dyDescent="0.3"/>
    <row r="99" s="7" customFormat="1" x14ac:dyDescent="0.3"/>
    <row r="100" s="7" customFormat="1" x14ac:dyDescent="0.3"/>
    <row r="101" s="7" customFormat="1" x14ac:dyDescent="0.3"/>
    <row r="102" s="7" customFormat="1" x14ac:dyDescent="0.3"/>
    <row r="103" s="7" customFormat="1" x14ac:dyDescent="0.3"/>
    <row r="104" s="7" customFormat="1" x14ac:dyDescent="0.3"/>
    <row r="105" s="7" customFormat="1" x14ac:dyDescent="0.3"/>
    <row r="106" s="7" customFormat="1" x14ac:dyDescent="0.3"/>
    <row r="107" s="7" customFormat="1" x14ac:dyDescent="0.3"/>
    <row r="108" s="7" customFormat="1" x14ac:dyDescent="0.3"/>
    <row r="109" s="7" customFormat="1" x14ac:dyDescent="0.3"/>
    <row r="110" s="7" customFormat="1" x14ac:dyDescent="0.3"/>
    <row r="111" s="7" customFormat="1" x14ac:dyDescent="0.3"/>
    <row r="112" s="7" customFormat="1" x14ac:dyDescent="0.3"/>
    <row r="113" s="7" customFormat="1" x14ac:dyDescent="0.3"/>
    <row r="114" s="7" customFormat="1" x14ac:dyDescent="0.3"/>
    <row r="115" s="7" customFormat="1" x14ac:dyDescent="0.3"/>
    <row r="116" s="7" customFormat="1" x14ac:dyDescent="0.3"/>
    <row r="117" s="7" customFormat="1" x14ac:dyDescent="0.3"/>
    <row r="118" s="7" customFormat="1" x14ac:dyDescent="0.3"/>
    <row r="119" s="7" customFormat="1" x14ac:dyDescent="0.3"/>
    <row r="120" s="7" customFormat="1" x14ac:dyDescent="0.3"/>
    <row r="121" s="7" customFormat="1" x14ac:dyDescent="0.3"/>
    <row r="122" s="7" customFormat="1" x14ac:dyDescent="0.3"/>
    <row r="123" s="7" customFormat="1" x14ac:dyDescent="0.3"/>
    <row r="124" s="7" customFormat="1" x14ac:dyDescent="0.3"/>
    <row r="125" s="7" customFormat="1" x14ac:dyDescent="0.3"/>
    <row r="126" s="7" customFormat="1" x14ac:dyDescent="0.3"/>
    <row r="127" s="7" customFormat="1" x14ac:dyDescent="0.3"/>
    <row r="128" s="7" customFormat="1" x14ac:dyDescent="0.3"/>
    <row r="129" s="7" customFormat="1" x14ac:dyDescent="0.3"/>
    <row r="130" s="7" customFormat="1" x14ac:dyDescent="0.3"/>
    <row r="131" s="7" customFormat="1" x14ac:dyDescent="0.3"/>
    <row r="132" s="7" customFormat="1" x14ac:dyDescent="0.3"/>
    <row r="133" s="7" customFormat="1" x14ac:dyDescent="0.3"/>
    <row r="134" s="7" customFormat="1" x14ac:dyDescent="0.3"/>
    <row r="135" s="7" customFormat="1" x14ac:dyDescent="0.3"/>
    <row r="136" s="7" customFormat="1" x14ac:dyDescent="0.3"/>
    <row r="137" s="7" customFormat="1" x14ac:dyDescent="0.3"/>
    <row r="138" s="7" customFormat="1" x14ac:dyDescent="0.3"/>
    <row r="139" s="7" customFormat="1" x14ac:dyDescent="0.3"/>
    <row r="140" s="7" customFormat="1" x14ac:dyDescent="0.3"/>
    <row r="141" s="7" customFormat="1" x14ac:dyDescent="0.3"/>
    <row r="142" s="7" customFormat="1" x14ac:dyDescent="0.3"/>
    <row r="143" s="7" customFormat="1" x14ac:dyDescent="0.3"/>
    <row r="144" s="7" customFormat="1" x14ac:dyDescent="0.3"/>
    <row r="145" s="7" customFormat="1" x14ac:dyDescent="0.3"/>
    <row r="146" s="7" customFormat="1" x14ac:dyDescent="0.3"/>
    <row r="147" s="7" customFormat="1" x14ac:dyDescent="0.3"/>
    <row r="148" s="7" customFormat="1" x14ac:dyDescent="0.3"/>
    <row r="149" s="7" customFormat="1" x14ac:dyDescent="0.3"/>
    <row r="150" s="7" customFormat="1" x14ac:dyDescent="0.3"/>
    <row r="151" s="7" customFormat="1" x14ac:dyDescent="0.3"/>
    <row r="152" s="7" customFormat="1" x14ac:dyDescent="0.3"/>
    <row r="153" s="7" customFormat="1" x14ac:dyDescent="0.3"/>
    <row r="154" s="7" customFormat="1" x14ac:dyDescent="0.3"/>
    <row r="155" s="7" customFormat="1" x14ac:dyDescent="0.3"/>
    <row r="156" s="7" customFormat="1" x14ac:dyDescent="0.3"/>
    <row r="157" s="7" customFormat="1" x14ac:dyDescent="0.3"/>
    <row r="158" s="7" customFormat="1" x14ac:dyDescent="0.3"/>
    <row r="159" s="7" customFormat="1" x14ac:dyDescent="0.3"/>
    <row r="160" s="7" customFormat="1" x14ac:dyDescent="0.3"/>
    <row r="161" s="7" customFormat="1" x14ac:dyDescent="0.3"/>
    <row r="162" s="7" customFormat="1" x14ac:dyDescent="0.3"/>
    <row r="163" s="7" customFormat="1" x14ac:dyDescent="0.3"/>
    <row r="164" s="7" customFormat="1" x14ac:dyDescent="0.3"/>
    <row r="165" s="7" customFormat="1" x14ac:dyDescent="0.3"/>
    <row r="166" s="7" customFormat="1" x14ac:dyDescent="0.3"/>
    <row r="167" s="7" customFormat="1" x14ac:dyDescent="0.3"/>
    <row r="168" s="7" customFormat="1" x14ac:dyDescent="0.3"/>
    <row r="169" s="7" customFormat="1" x14ac:dyDescent="0.3"/>
    <row r="170" s="7" customFormat="1" x14ac:dyDescent="0.3"/>
    <row r="171" s="7" customFormat="1" x14ac:dyDescent="0.3"/>
    <row r="172" s="7" customFormat="1" x14ac:dyDescent="0.3"/>
    <row r="173" s="7" customFormat="1" x14ac:dyDescent="0.3"/>
    <row r="174" s="7" customFormat="1" x14ac:dyDescent="0.3"/>
    <row r="175" s="7" customFormat="1" x14ac:dyDescent="0.3"/>
    <row r="176" s="7" customFormat="1" x14ac:dyDescent="0.3"/>
    <row r="177" s="7" customFormat="1" x14ac:dyDescent="0.3"/>
    <row r="178" s="7" customFormat="1" x14ac:dyDescent="0.3"/>
    <row r="179" s="7" customFormat="1" x14ac:dyDescent="0.3"/>
    <row r="180" s="7" customFormat="1" x14ac:dyDescent="0.3"/>
    <row r="181" s="7" customFormat="1" x14ac:dyDescent="0.3"/>
    <row r="182" s="7" customFormat="1" x14ac:dyDescent="0.3"/>
    <row r="183" s="7" customFormat="1" x14ac:dyDescent="0.3"/>
    <row r="184" s="7" customFormat="1" x14ac:dyDescent="0.3"/>
    <row r="185" s="7" customFormat="1" x14ac:dyDescent="0.3"/>
    <row r="186" s="7" customFormat="1" x14ac:dyDescent="0.3"/>
    <row r="187" s="7" customFormat="1" x14ac:dyDescent="0.3"/>
    <row r="188" s="7" customFormat="1" x14ac:dyDescent="0.3"/>
    <row r="189" s="7" customFormat="1" x14ac:dyDescent="0.3"/>
    <row r="190" s="7" customFormat="1" x14ac:dyDescent="0.3"/>
    <row r="191" s="7" customFormat="1" x14ac:dyDescent="0.3"/>
    <row r="192" s="7" customFormat="1" x14ac:dyDescent="0.3"/>
    <row r="193" s="7" customFormat="1" x14ac:dyDescent="0.3"/>
    <row r="194" s="7" customFormat="1" x14ac:dyDescent="0.3"/>
    <row r="195" s="7" customFormat="1" x14ac:dyDescent="0.3"/>
    <row r="196" s="7" customFormat="1" x14ac:dyDescent="0.3"/>
    <row r="197" s="7" customFormat="1" x14ac:dyDescent="0.3"/>
    <row r="198" s="7" customFormat="1" x14ac:dyDescent="0.3"/>
    <row r="199" s="7" customFormat="1" x14ac:dyDescent="0.3"/>
    <row r="200" s="7" customFormat="1" x14ac:dyDescent="0.3"/>
    <row r="201" s="7" customFormat="1" x14ac:dyDescent="0.3"/>
    <row r="202" s="7" customFormat="1" x14ac:dyDescent="0.3"/>
    <row r="203" s="7" customFormat="1" x14ac:dyDescent="0.3"/>
    <row r="204" s="7" customFormat="1" x14ac:dyDescent="0.3"/>
    <row r="205" s="7" customFormat="1" x14ac:dyDescent="0.3"/>
    <row r="206" s="7" customFormat="1" x14ac:dyDescent="0.3"/>
    <row r="207" s="7" customFormat="1" x14ac:dyDescent="0.3"/>
    <row r="208" s="7" customFormat="1" x14ac:dyDescent="0.3"/>
    <row r="209" s="7" customFormat="1" x14ac:dyDescent="0.3"/>
    <row r="210" s="7" customFormat="1" x14ac:dyDescent="0.3"/>
    <row r="211" s="7" customFormat="1" x14ac:dyDescent="0.3"/>
    <row r="212" s="7" customFormat="1" x14ac:dyDescent="0.3"/>
    <row r="213" s="7" customFormat="1" x14ac:dyDescent="0.3"/>
    <row r="214" s="7" customFormat="1" x14ac:dyDescent="0.3"/>
    <row r="215" s="7" customFormat="1" x14ac:dyDescent="0.3"/>
    <row r="216" s="7" customFormat="1" x14ac:dyDescent="0.3"/>
    <row r="217" s="7" customFormat="1" x14ac:dyDescent="0.3"/>
    <row r="218" s="7" customFormat="1" x14ac:dyDescent="0.3"/>
    <row r="219" s="7" customFormat="1" x14ac:dyDescent="0.3"/>
    <row r="220" s="7" customFormat="1" x14ac:dyDescent="0.3"/>
    <row r="221" s="7" customFormat="1" x14ac:dyDescent="0.3"/>
    <row r="222" s="7" customFormat="1" x14ac:dyDescent="0.3"/>
    <row r="223" s="7" customFormat="1" x14ac:dyDescent="0.3"/>
    <row r="224" s="7" customFormat="1" x14ac:dyDescent="0.3"/>
    <row r="225" s="7" customFormat="1" x14ac:dyDescent="0.3"/>
    <row r="226" s="7" customFormat="1" x14ac:dyDescent="0.3"/>
    <row r="227" s="7" customFormat="1" x14ac:dyDescent="0.3"/>
    <row r="228" s="7" customFormat="1" x14ac:dyDescent="0.3"/>
    <row r="229" s="7" customFormat="1" x14ac:dyDescent="0.3"/>
    <row r="230" s="7" customFormat="1" x14ac:dyDescent="0.3"/>
    <row r="231" s="7" customFormat="1" x14ac:dyDescent="0.3"/>
    <row r="232" s="7" customFormat="1" x14ac:dyDescent="0.3"/>
    <row r="233" s="7" customFormat="1" x14ac:dyDescent="0.3"/>
    <row r="234" s="7" customFormat="1" x14ac:dyDescent="0.3"/>
    <row r="235" s="7" customFormat="1" x14ac:dyDescent="0.3"/>
    <row r="236" s="7" customFormat="1" x14ac:dyDescent="0.3"/>
    <row r="237" s="7" customFormat="1" x14ac:dyDescent="0.3"/>
    <row r="238" s="7" customFormat="1" x14ac:dyDescent="0.3"/>
    <row r="239" s="7" customFormat="1" x14ac:dyDescent="0.3"/>
    <row r="240" s="7" customFormat="1" x14ac:dyDescent="0.3"/>
    <row r="241" s="7" customFormat="1" x14ac:dyDescent="0.3"/>
    <row r="242" s="7" customFormat="1" x14ac:dyDescent="0.3"/>
    <row r="243" s="7" customFormat="1" x14ac:dyDescent="0.3"/>
    <row r="244" s="7" customFormat="1" x14ac:dyDescent="0.3"/>
    <row r="245" s="7" customFormat="1" x14ac:dyDescent="0.3"/>
    <row r="246" s="7" customFormat="1" x14ac:dyDescent="0.3"/>
    <row r="247" s="7" customFormat="1" x14ac:dyDescent="0.3"/>
    <row r="248" s="7" customFormat="1" x14ac:dyDescent="0.3"/>
    <row r="249" s="7" customFormat="1" x14ac:dyDescent="0.3"/>
    <row r="250" s="7" customFormat="1" x14ac:dyDescent="0.3"/>
    <row r="251" s="7" customFormat="1" x14ac:dyDescent="0.3"/>
    <row r="252" s="7" customFormat="1" x14ac:dyDescent="0.3"/>
    <row r="253" s="7" customFormat="1" x14ac:dyDescent="0.3"/>
    <row r="254" s="7" customFormat="1" x14ac:dyDescent="0.3"/>
    <row r="255" s="7" customFormat="1" x14ac:dyDescent="0.3"/>
    <row r="256" s="7" customFormat="1" x14ac:dyDescent="0.3"/>
    <row r="257" s="7" customFormat="1" x14ac:dyDescent="0.3"/>
    <row r="258" s="7" customFormat="1" x14ac:dyDescent="0.3"/>
    <row r="259" s="7" customFormat="1" x14ac:dyDescent="0.3"/>
    <row r="260" s="7" customFormat="1" x14ac:dyDescent="0.3"/>
    <row r="261" s="7" customFormat="1" x14ac:dyDescent="0.3"/>
    <row r="262" s="7" customFormat="1" x14ac:dyDescent="0.3"/>
    <row r="263" s="7" customFormat="1" x14ac:dyDescent="0.3"/>
    <row r="264" s="7" customFormat="1" x14ac:dyDescent="0.3"/>
    <row r="265" s="7" customFormat="1" x14ac:dyDescent="0.3"/>
    <row r="266" s="7" customFormat="1" x14ac:dyDescent="0.3"/>
    <row r="267" s="7" customFormat="1" x14ac:dyDescent="0.3"/>
    <row r="268" s="7" customFormat="1" x14ac:dyDescent="0.3"/>
    <row r="269" s="7" customFormat="1" x14ac:dyDescent="0.3"/>
    <row r="270" s="7" customFormat="1" x14ac:dyDescent="0.3"/>
    <row r="271" s="7" customFormat="1" x14ac:dyDescent="0.3"/>
    <row r="272" s="7" customFormat="1" x14ac:dyDescent="0.3"/>
    <row r="273" s="7" customFormat="1" x14ac:dyDescent="0.3"/>
    <row r="274" s="7" customFormat="1" x14ac:dyDescent="0.3"/>
    <row r="275" s="7" customFormat="1" x14ac:dyDescent="0.3"/>
    <row r="276" s="7" customFormat="1" x14ac:dyDescent="0.3"/>
    <row r="277" s="7" customFormat="1" x14ac:dyDescent="0.3"/>
    <row r="278" s="7" customFormat="1" x14ac:dyDescent="0.3"/>
    <row r="279" s="7" customFormat="1" x14ac:dyDescent="0.3"/>
    <row r="280" s="7" customFormat="1" x14ac:dyDescent="0.3"/>
    <row r="281" s="7" customFormat="1" x14ac:dyDescent="0.3"/>
    <row r="282" s="7" customFormat="1" x14ac:dyDescent="0.3"/>
    <row r="283" s="7" customFormat="1" x14ac:dyDescent="0.3"/>
    <row r="284" s="7" customFormat="1" x14ac:dyDescent="0.3"/>
    <row r="285" s="7" customFormat="1" x14ac:dyDescent="0.3"/>
    <row r="286" s="7" customFormat="1" x14ac:dyDescent="0.3"/>
    <row r="287" s="7" customFormat="1" x14ac:dyDescent="0.3"/>
    <row r="288" s="7" customFormat="1" x14ac:dyDescent="0.3"/>
    <row r="289" s="7" customFormat="1" x14ac:dyDescent="0.3"/>
    <row r="290" s="7" customFormat="1" x14ac:dyDescent="0.3"/>
    <row r="291" s="7" customFormat="1" x14ac:dyDescent="0.3"/>
    <row r="292" s="7" customFormat="1" x14ac:dyDescent="0.3"/>
    <row r="293" s="7" customFormat="1" x14ac:dyDescent="0.3"/>
    <row r="294" s="7" customFormat="1" x14ac:dyDescent="0.3"/>
    <row r="295" s="7" customFormat="1" x14ac:dyDescent="0.3"/>
    <row r="296" s="7" customFormat="1" x14ac:dyDescent="0.3"/>
    <row r="297" s="7" customFormat="1" x14ac:dyDescent="0.3"/>
    <row r="298" s="7" customFormat="1" x14ac:dyDescent="0.3"/>
    <row r="299" s="7" customFormat="1" x14ac:dyDescent="0.3"/>
    <row r="300" s="7" customFormat="1" x14ac:dyDescent="0.3"/>
    <row r="301" s="7" customFormat="1" x14ac:dyDescent="0.3"/>
    <row r="302" s="7" customFormat="1" x14ac:dyDescent="0.3"/>
    <row r="303" s="7" customFormat="1" x14ac:dyDescent="0.3"/>
    <row r="304" s="7" customFormat="1" x14ac:dyDescent="0.3"/>
    <row r="305" s="7" customFormat="1" x14ac:dyDescent="0.3"/>
    <row r="306" s="7" customFormat="1" x14ac:dyDescent="0.3"/>
    <row r="307" s="7" customFormat="1" x14ac:dyDescent="0.3"/>
    <row r="308" s="7" customFormat="1" x14ac:dyDescent="0.3"/>
    <row r="309" s="7" customFormat="1" x14ac:dyDescent="0.3"/>
    <row r="310" s="7" customFormat="1" x14ac:dyDescent="0.3"/>
    <row r="311" s="7" customFormat="1" x14ac:dyDescent="0.3"/>
    <row r="312" s="7" customFormat="1" x14ac:dyDescent="0.3"/>
    <row r="313" s="7" customFormat="1" x14ac:dyDescent="0.3"/>
    <row r="314" s="7" customFormat="1" x14ac:dyDescent="0.3"/>
    <row r="315" s="7" customFormat="1" x14ac:dyDescent="0.3"/>
    <row r="316" s="7" customFormat="1" x14ac:dyDescent="0.3"/>
    <row r="317" s="7" customFormat="1" x14ac:dyDescent="0.3"/>
    <row r="318" s="7" customFormat="1" x14ac:dyDescent="0.3"/>
    <row r="319" s="7" customFormat="1" x14ac:dyDescent="0.3"/>
    <row r="320" s="7" customFormat="1" x14ac:dyDescent="0.3"/>
    <row r="321" s="7" customFormat="1" x14ac:dyDescent="0.3"/>
    <row r="322" s="7" customFormat="1" x14ac:dyDescent="0.3"/>
    <row r="323" s="7" customFormat="1" x14ac:dyDescent="0.3"/>
    <row r="324" s="7" customFormat="1" x14ac:dyDescent="0.3"/>
    <row r="325" s="7" customFormat="1" x14ac:dyDescent="0.3"/>
    <row r="326" s="7" customFormat="1" x14ac:dyDescent="0.3"/>
    <row r="327" s="7" customFormat="1" x14ac:dyDescent="0.3"/>
    <row r="328" s="7" customFormat="1" x14ac:dyDescent="0.3"/>
    <row r="329" s="7" customFormat="1" x14ac:dyDescent="0.3"/>
    <row r="330" s="7" customFormat="1" x14ac:dyDescent="0.3"/>
    <row r="331" s="7" customFormat="1" x14ac:dyDescent="0.3"/>
    <row r="332" s="7" customFormat="1" x14ac:dyDescent="0.3"/>
    <row r="333" s="7" customFormat="1" x14ac:dyDescent="0.3"/>
    <row r="334" s="7" customFormat="1" x14ac:dyDescent="0.3"/>
    <row r="335" s="7" customFormat="1" x14ac:dyDescent="0.3"/>
    <row r="336" s="7" customFormat="1" x14ac:dyDescent="0.3"/>
    <row r="337" s="7" customFormat="1" x14ac:dyDescent="0.3"/>
    <row r="338" s="7" customFormat="1" x14ac:dyDescent="0.3"/>
    <row r="339" s="7" customFormat="1" x14ac:dyDescent="0.3"/>
    <row r="340" s="7" customFormat="1" x14ac:dyDescent="0.3"/>
    <row r="341" s="7" customFormat="1" x14ac:dyDescent="0.3"/>
    <row r="342" s="7" customFormat="1" x14ac:dyDescent="0.3"/>
    <row r="343" s="7" customFormat="1" x14ac:dyDescent="0.3"/>
    <row r="344" s="7" customFormat="1" x14ac:dyDescent="0.3"/>
    <row r="345" s="7" customFormat="1" x14ac:dyDescent="0.3"/>
    <row r="346" s="7" customFormat="1" x14ac:dyDescent="0.3"/>
    <row r="347" s="7" customFormat="1" x14ac:dyDescent="0.3"/>
    <row r="348" s="7" customFormat="1" x14ac:dyDescent="0.3"/>
    <row r="349" s="7" customFormat="1" x14ac:dyDescent="0.3"/>
    <row r="350" s="7" customFormat="1" x14ac:dyDescent="0.3"/>
    <row r="351" s="7" customFormat="1" x14ac:dyDescent="0.3"/>
    <row r="352" s="7" customFormat="1" x14ac:dyDescent="0.3"/>
    <row r="353" s="7" customFormat="1" x14ac:dyDescent="0.3"/>
    <row r="354" s="7" customFormat="1" x14ac:dyDescent="0.3"/>
    <row r="355" s="7" customFormat="1" x14ac:dyDescent="0.3"/>
    <row r="356" s="7" customFormat="1" x14ac:dyDescent="0.3"/>
    <row r="357" s="7" customFormat="1" x14ac:dyDescent="0.3"/>
    <row r="358" s="7" customFormat="1" x14ac:dyDescent="0.3"/>
    <row r="359" s="7" customFormat="1" x14ac:dyDescent="0.3"/>
    <row r="360" s="7" customFormat="1" x14ac:dyDescent="0.3"/>
    <row r="361" s="7" customFormat="1" x14ac:dyDescent="0.3"/>
    <row r="362" s="7" customFormat="1" x14ac:dyDescent="0.3"/>
    <row r="363" s="7" customFormat="1" x14ac:dyDescent="0.3"/>
    <row r="364" s="7" customFormat="1" x14ac:dyDescent="0.3"/>
    <row r="365" s="7" customFormat="1" x14ac:dyDescent="0.3"/>
    <row r="366" s="7" customFormat="1" x14ac:dyDescent="0.3"/>
    <row r="367" s="7" customFormat="1" x14ac:dyDescent="0.3"/>
    <row r="368" s="7" customFormat="1" x14ac:dyDescent="0.3"/>
    <row r="369" s="7" customFormat="1" x14ac:dyDescent="0.3"/>
    <row r="370" s="7" customFormat="1" x14ac:dyDescent="0.3"/>
    <row r="371" s="7" customFormat="1" x14ac:dyDescent="0.3"/>
    <row r="372" s="7" customFormat="1" x14ac:dyDescent="0.3"/>
    <row r="373" s="7" customFormat="1" x14ac:dyDescent="0.3"/>
    <row r="374" s="7" customFormat="1" x14ac:dyDescent="0.3"/>
    <row r="375" s="7" customFormat="1" x14ac:dyDescent="0.3"/>
    <row r="376" s="7" customFormat="1" x14ac:dyDescent="0.3"/>
    <row r="377" s="7" customFormat="1" x14ac:dyDescent="0.3"/>
    <row r="378" s="7" customFormat="1" x14ac:dyDescent="0.3"/>
    <row r="379" s="7" customFormat="1" x14ac:dyDescent="0.3"/>
    <row r="380" s="7" customFormat="1" x14ac:dyDescent="0.3"/>
    <row r="381" s="7" customFormat="1" x14ac:dyDescent="0.3"/>
    <row r="382" s="7" customFormat="1" x14ac:dyDescent="0.3"/>
    <row r="383" s="7" customFormat="1" x14ac:dyDescent="0.3"/>
    <row r="384" s="7" customFormat="1" x14ac:dyDescent="0.3"/>
    <row r="385" s="7" customFormat="1" x14ac:dyDescent="0.3"/>
    <row r="386" s="7" customFormat="1" x14ac:dyDescent="0.3"/>
    <row r="387" s="7" customFormat="1" x14ac:dyDescent="0.3"/>
    <row r="388" s="7" customFormat="1" x14ac:dyDescent="0.3"/>
    <row r="389" s="7" customFormat="1" x14ac:dyDescent="0.3"/>
    <row r="390" s="7" customFormat="1" x14ac:dyDescent="0.3"/>
    <row r="391" s="7" customFormat="1" x14ac:dyDescent="0.3"/>
    <row r="392" s="7" customFormat="1" x14ac:dyDescent="0.3"/>
    <row r="393" s="7" customFormat="1" x14ac:dyDescent="0.3"/>
    <row r="394" s="7" customFormat="1" x14ac:dyDescent="0.3"/>
    <row r="395" s="7" customFormat="1" x14ac:dyDescent="0.3"/>
    <row r="396" s="7" customFormat="1" x14ac:dyDescent="0.3"/>
    <row r="397" s="7" customFormat="1" x14ac:dyDescent="0.3"/>
    <row r="398" s="7" customFormat="1" x14ac:dyDescent="0.3"/>
    <row r="399" s="7" customFormat="1" x14ac:dyDescent="0.3"/>
    <row r="400" s="7" customFormat="1" x14ac:dyDescent="0.3"/>
    <row r="401" s="7" customFormat="1" x14ac:dyDescent="0.3"/>
    <row r="402" s="7" customFormat="1" x14ac:dyDescent="0.3"/>
    <row r="403" s="7" customFormat="1" x14ac:dyDescent="0.3"/>
    <row r="404" s="7" customFormat="1" x14ac:dyDescent="0.3"/>
    <row r="405" s="7" customFormat="1" x14ac:dyDescent="0.3"/>
    <row r="406" s="7" customFormat="1" x14ac:dyDescent="0.3"/>
    <row r="407" s="7" customFormat="1" x14ac:dyDescent="0.3"/>
    <row r="408" s="7" customFormat="1" x14ac:dyDescent="0.3"/>
    <row r="409" s="7" customFormat="1" x14ac:dyDescent="0.3"/>
    <row r="410" s="7" customFormat="1" x14ac:dyDescent="0.3"/>
    <row r="411" s="7" customFormat="1" x14ac:dyDescent="0.3"/>
    <row r="412" s="7" customFormat="1" x14ac:dyDescent="0.3"/>
    <row r="413" s="7" customFormat="1" x14ac:dyDescent="0.3"/>
    <row r="414" s="7" customFormat="1" x14ac:dyDescent="0.3"/>
    <row r="415" s="7" customFormat="1" x14ac:dyDescent="0.3"/>
    <row r="416" s="7" customFormat="1" x14ac:dyDescent="0.3"/>
    <row r="417" s="7" customFormat="1" x14ac:dyDescent="0.3"/>
    <row r="418" s="7" customFormat="1" x14ac:dyDescent="0.3"/>
    <row r="419" s="7" customFormat="1" x14ac:dyDescent="0.3"/>
    <row r="420" s="7" customFormat="1" x14ac:dyDescent="0.3"/>
    <row r="421" s="7" customFormat="1" x14ac:dyDescent="0.3"/>
    <row r="422" s="7" customFormat="1" x14ac:dyDescent="0.3"/>
    <row r="423" s="7" customFormat="1" x14ac:dyDescent="0.3"/>
    <row r="424" s="7" customFormat="1" x14ac:dyDescent="0.3"/>
    <row r="425" s="7" customFormat="1" x14ac:dyDescent="0.3"/>
    <row r="426" s="7" customFormat="1" x14ac:dyDescent="0.3"/>
    <row r="427" s="7" customFormat="1" x14ac:dyDescent="0.3"/>
    <row r="428" s="7" customFormat="1" x14ac:dyDescent="0.3"/>
    <row r="429" s="7" customFormat="1" x14ac:dyDescent="0.3"/>
    <row r="430" s="7" customFormat="1" x14ac:dyDescent="0.3"/>
    <row r="431" s="7" customFormat="1" x14ac:dyDescent="0.3"/>
    <row r="432" s="7" customFormat="1" x14ac:dyDescent="0.3"/>
    <row r="433" s="7" customFormat="1" x14ac:dyDescent="0.3"/>
    <row r="434" s="7" customFormat="1" x14ac:dyDescent="0.3"/>
    <row r="435" s="7" customFormat="1" x14ac:dyDescent="0.3"/>
    <row r="436" s="7" customFormat="1" x14ac:dyDescent="0.3"/>
    <row r="437" s="7" customFormat="1" x14ac:dyDescent="0.3"/>
    <row r="438" s="7" customFormat="1" x14ac:dyDescent="0.3"/>
    <row r="439" s="7" customFormat="1" x14ac:dyDescent="0.3"/>
    <row r="440" s="7" customFormat="1" x14ac:dyDescent="0.3"/>
    <row r="441" s="7" customFormat="1" x14ac:dyDescent="0.3"/>
    <row r="442" s="7" customFormat="1" x14ac:dyDescent="0.3"/>
    <row r="443" s="7" customFormat="1" x14ac:dyDescent="0.3"/>
    <row r="444" s="7" customFormat="1" x14ac:dyDescent="0.3"/>
    <row r="445" s="7" customFormat="1" x14ac:dyDescent="0.3"/>
    <row r="446" s="7" customFormat="1" x14ac:dyDescent="0.3"/>
    <row r="447" s="7" customFormat="1" x14ac:dyDescent="0.3"/>
    <row r="448" s="7" customFormat="1" x14ac:dyDescent="0.3"/>
    <row r="449" s="7" customFormat="1" x14ac:dyDescent="0.3"/>
    <row r="450" s="7" customFormat="1" x14ac:dyDescent="0.3"/>
    <row r="451" s="7" customFormat="1" x14ac:dyDescent="0.3"/>
    <row r="452" s="7" customFormat="1" x14ac:dyDescent="0.3"/>
    <row r="453" s="7" customFormat="1" x14ac:dyDescent="0.3"/>
    <row r="454" s="7" customFormat="1" x14ac:dyDescent="0.3"/>
    <row r="455" s="7" customFormat="1" x14ac:dyDescent="0.3"/>
    <row r="456" s="7" customForma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Victor Nicolas Mateus dos Santos</cp:lastModifiedBy>
  <cp:revision/>
  <dcterms:created xsi:type="dcterms:W3CDTF">2024-12-19T13:13:10Z</dcterms:created>
  <dcterms:modified xsi:type="dcterms:W3CDTF">2025-11-30T23:37:38Z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